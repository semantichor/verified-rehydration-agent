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9CA35C58-8A07-401B-B43C-61D9DF9B6A1F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Spec12" sheetId="1" r:id="rId1"/>
    <sheet name="Vocab" sheetId="2" r:id="rId2"/>
    <sheet name="Evidence" sheetId="3" r:id="rId3"/>
    <sheet name="PT" sheetId="4" r:id="rId4"/>
    <sheet name="Sweep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6" i="5" l="1"/>
  <c r="D165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F28" i="4"/>
  <c r="G28" i="4" s="1"/>
  <c r="G27" i="4"/>
  <c r="G26" i="4"/>
  <c r="F25" i="4"/>
  <c r="G25" i="4" s="1"/>
  <c r="G24" i="4"/>
  <c r="G23" i="4"/>
  <c r="G22" i="4"/>
  <c r="G21" i="4"/>
  <c r="G20" i="4"/>
  <c r="G19" i="4"/>
  <c r="G18" i="4"/>
  <c r="G17" i="4"/>
  <c r="F16" i="4"/>
  <c r="G16" i="4" s="1"/>
  <c r="K15" i="4"/>
  <c r="G15" i="4" s="1"/>
  <c r="F15" i="4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D170" i="5" l="1"/>
  <c r="D169" i="5"/>
  <c r="D168" i="5"/>
  <c r="F32" i="4"/>
  <c r="F33" i="4"/>
  <c r="F34" i="4"/>
</calcChain>
</file>

<file path=xl/sharedStrings.xml><?xml version="1.0" encoding="utf-8"?>
<sst xmlns="http://schemas.openxmlformats.org/spreadsheetml/2006/main" count="766" uniqueCount="130">
  <si>
    <t>key</t>
  </si>
  <si>
    <t>pass_target</t>
  </si>
  <si>
    <t>fail_target</t>
  </si>
  <si>
    <t>S0 STARTUP_READONLY|StartupComplete</t>
  </si>
  <si>
    <t>S1 SNAPSHOT_LOCKED</t>
  </si>
  <si>
    <t>S5 FAIL_SAFE</t>
  </si>
  <si>
    <t>S1 SNAPSHOT_LOCKED|SnapshotLocked</t>
  </si>
  <si>
    <t>S2 STRUCTURAL_VERIFIED</t>
  </si>
  <si>
    <t>S2 STRUCTURAL_VERIFIED|StructuralChecksDone</t>
  </si>
  <si>
    <t>S3 ELIGIBLE_HEAD_SELECTED</t>
  </si>
  <si>
    <t>S3 ELIGIBLE_HEAD_SELECTED|EligibilityChecksDone</t>
  </si>
  <si>
    <t>S4 REHYDRATED_VALIDATED</t>
  </si>
  <si>
    <t>S3 ELIGIBLE_HEAD_SELECTED|ToolStateInvalid</t>
  </si>
  <si>
    <t>S6 TOOL_QUARANTINE</t>
  </si>
  <si>
    <t>S5 FAIL_SAFE|WalReplayNeeded</t>
  </si>
  <si>
    <t>S7 RECOVERY_REPLAY</t>
  </si>
  <si>
    <t>S7 RECOVERY_REPLAY|RecoveryConverged</t>
  </si>
  <si>
    <t>S8 READMISSION_PENDING</t>
  </si>
  <si>
    <t>S8 READMISSION_PENDING|AuthorityRelease</t>
  </si>
  <si>
    <t>S0 STARTUP_READONLY</t>
  </si>
  <si>
    <t>states</t>
  </si>
  <si>
    <t>triggers</t>
  </si>
  <si>
    <t>verdicts</t>
  </si>
  <si>
    <t>StartupComplete</t>
  </si>
  <si>
    <t>ALLOW</t>
  </si>
  <si>
    <t>SnapshotLocked</t>
  </si>
  <si>
    <t>DENY</t>
  </si>
  <si>
    <t>StructuralChecksDone</t>
  </si>
  <si>
    <t>QUARANTINE</t>
  </si>
  <si>
    <t>EligibilityChecksDone</t>
  </si>
  <si>
    <t>ESCALATE</t>
  </si>
  <si>
    <t>RollbackDetected</t>
  </si>
  <si>
    <t>READMISSION_PENDING</t>
  </si>
  <si>
    <t>ToolStateInvalid</t>
  </si>
  <si>
    <t>WalReplayNeeded</t>
  </si>
  <si>
    <t>RecoveryConverged</t>
  </si>
  <si>
    <t>AuthorityRelease</t>
  </si>
  <si>
    <t>field</t>
  </si>
  <si>
    <t>producer</t>
  </si>
  <si>
    <t>deny_frame</t>
  </si>
  <si>
    <t>deny_parse</t>
  </si>
  <si>
    <t>deny_chain</t>
  </si>
  <si>
    <t>deny_freshness</t>
  </si>
  <si>
    <t>recovery</t>
  </si>
  <si>
    <t>readmission</t>
  </si>
  <si>
    <t>validator_bundle_id</t>
  </si>
  <si>
    <t>EXECUTION_LAYER</t>
  </si>
  <si>
    <t>x</t>
  </si>
  <si>
    <t>verified_head_digest</t>
  </si>
  <si>
    <t>V_CHAIN</t>
  </si>
  <si>
    <t>snapshot_id</t>
  </si>
  <si>
    <t>V_SNAPSHOT</t>
  </si>
  <si>
    <t>policy_id</t>
  </si>
  <si>
    <t>V_POLICY</t>
  </si>
  <si>
    <t>source_id</t>
  </si>
  <si>
    <t>V_FRESHNESS</t>
  </si>
  <si>
    <t>freshness_value</t>
  </si>
  <si>
    <t>irr_digest</t>
  </si>
  <si>
    <t>V_IRR</t>
  </si>
  <si>
    <t>tool_activation_status</t>
  </si>
  <si>
    <t>TOOL_GATE</t>
  </si>
  <si>
    <t>suppression_status</t>
  </si>
  <si>
    <t>GATE_LOGIC</t>
  </si>
  <si>
    <t>failure_code</t>
  </si>
  <si>
    <t>FRAME_INVALID</t>
  </si>
  <si>
    <t>PARSE_AMBIGUOUS</t>
  </si>
  <si>
    <t>CHAIN_BREAK</t>
  </si>
  <si>
    <t>FRESHNESS_DOWNGRADE</t>
  </si>
  <si>
    <t>failed_validator</t>
  </si>
  <si>
    <t>V_FRAME</t>
  </si>
  <si>
    <t>V_PARSE</t>
  </si>
  <si>
    <t>recovery_phase</t>
  </si>
  <si>
    <t>V_WAL_PHASE</t>
  </si>
  <si>
    <t>REPLAY_IN_PROGRESS</t>
  </si>
  <si>
    <t>readmission_token_id</t>
  </si>
  <si>
    <t>READMISSION_AUTHORITY</t>
  </si>
  <si>
    <t>RT-0001</t>
  </si>
  <si>
    <t>PT</t>
  </si>
  <si>
    <t>state</t>
  </si>
  <si>
    <t>trigger</t>
  </si>
  <si>
    <t>validator</t>
  </si>
  <si>
    <t>expected</t>
  </si>
  <si>
    <t>result</t>
  </si>
  <si>
    <t>status</t>
  </si>
  <si>
    <t>PT-001</t>
  </si>
  <si>
    <t>true</t>
  </si>
  <si>
    <t>PT-002</t>
  </si>
  <si>
    <t>PT-003</t>
  </si>
  <si>
    <t>PT-004</t>
  </si>
  <si>
    <t>false</t>
  </si>
  <si>
    <t>PT-005</t>
  </si>
  <si>
    <t>PT-006</t>
  </si>
  <si>
    <t>PT-007</t>
  </si>
  <si>
    <t>PT-008</t>
  </si>
  <si>
    <t>PT-009</t>
  </si>
  <si>
    <t>PT-010</t>
  </si>
  <si>
    <t>PT-011</t>
  </si>
  <si>
    <t>PT-012</t>
  </si>
  <si>
    <t>PT-013</t>
  </si>
  <si>
    <t>PT-014</t>
  </si>
  <si>
    <t>S6 vs S4 split</t>
  </si>
  <si>
    <t>PT-015</t>
  </si>
  <si>
    <t>PT-016</t>
  </si>
  <si>
    <t>PT-017</t>
  </si>
  <si>
    <t>PT-018</t>
  </si>
  <si>
    <t>PT-019</t>
  </si>
  <si>
    <t>PT-020</t>
  </si>
  <si>
    <t>PT-021</t>
  </si>
  <si>
    <t>PT-022</t>
  </si>
  <si>
    <t>PT-023</t>
  </si>
  <si>
    <t>PT-024</t>
  </si>
  <si>
    <t>in {S0,S1}</t>
  </si>
  <si>
    <t>PT-025</t>
  </si>
  <si>
    <t>PT-026</t>
  </si>
  <si>
    <t>PT-027</t>
  </si>
  <si>
    <t>PT-028</t>
  </si>
  <si>
    <t>declarative V_COMPAT</t>
  </si>
  <si>
    <t>SKIP</t>
  </si>
  <si>
    <t>PT-029</t>
  </si>
  <si>
    <t>declarative V_WRITER_LOCK</t>
  </si>
  <si>
    <t>TOTALS</t>
  </si>
  <si>
    <t>pass</t>
  </si>
  <si>
    <t>fail</t>
  </si>
  <si>
    <t>skip</t>
  </si>
  <si>
    <t>unknown token probes</t>
  </si>
  <si>
    <t>S99 BOGUS</t>
  </si>
  <si>
    <t>MadeUpTrigger</t>
  </si>
  <si>
    <t>validator=false reaching S4:</t>
  </si>
  <si>
    <t>rollback rows not S5:</t>
  </si>
  <si>
    <t>off-table progressions: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</si>
</sst>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Normal="100" workbookViewId="0"/>
  </sheetViews>
  <sheetFormatPr defaultColWidth="8.664062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13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/>
  </sheetViews>
  <sheetFormatPr defaultColWidth="8.6640625" defaultRowHeight="14.4" x14ac:dyDescent="0.3"/>
  <sheetData>
    <row r="1" spans="1:3" x14ac:dyDescent="0.3">
      <c r="A1" s="1" t="s">
        <v>20</v>
      </c>
      <c r="B1" s="1" t="s">
        <v>21</v>
      </c>
      <c r="C1" s="1" t="s">
        <v>22</v>
      </c>
    </row>
    <row r="2" spans="1:3" x14ac:dyDescent="0.3">
      <c r="A2" t="s">
        <v>19</v>
      </c>
      <c r="B2" t="s">
        <v>23</v>
      </c>
      <c r="C2" t="s">
        <v>24</v>
      </c>
    </row>
    <row r="3" spans="1:3" x14ac:dyDescent="0.3">
      <c r="A3" t="s">
        <v>4</v>
      </c>
      <c r="B3" t="s">
        <v>25</v>
      </c>
      <c r="C3" t="s">
        <v>26</v>
      </c>
    </row>
    <row r="4" spans="1:3" x14ac:dyDescent="0.3">
      <c r="A4" t="s">
        <v>7</v>
      </c>
      <c r="B4" t="s">
        <v>27</v>
      </c>
      <c r="C4" t="s">
        <v>28</v>
      </c>
    </row>
    <row r="5" spans="1:3" x14ac:dyDescent="0.3">
      <c r="A5" t="s">
        <v>9</v>
      </c>
      <c r="B5" t="s">
        <v>29</v>
      </c>
      <c r="C5" t="s">
        <v>30</v>
      </c>
    </row>
    <row r="6" spans="1:3" x14ac:dyDescent="0.3">
      <c r="A6" t="s">
        <v>11</v>
      </c>
      <c r="B6" t="s">
        <v>31</v>
      </c>
      <c r="C6" t="s">
        <v>32</v>
      </c>
    </row>
    <row r="7" spans="1:3" x14ac:dyDescent="0.3">
      <c r="A7" t="s">
        <v>5</v>
      </c>
      <c r="B7" t="s">
        <v>33</v>
      </c>
    </row>
    <row r="8" spans="1:3" x14ac:dyDescent="0.3">
      <c r="A8" t="s">
        <v>13</v>
      </c>
      <c r="B8" t="s">
        <v>34</v>
      </c>
    </row>
    <row r="9" spans="1:3" x14ac:dyDescent="0.3">
      <c r="A9" t="s">
        <v>15</v>
      </c>
      <c r="B9" t="s">
        <v>35</v>
      </c>
    </row>
    <row r="10" spans="1:3" x14ac:dyDescent="0.3">
      <c r="A10" t="s">
        <v>17</v>
      </c>
      <c r="B10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Normal="100" workbookViewId="0"/>
  </sheetViews>
  <sheetFormatPr defaultColWidth="8.6640625" defaultRowHeight="14.4" x14ac:dyDescent="0.3"/>
  <sheetData>
    <row r="1" spans="1:8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3">
      <c r="A2" t="s">
        <v>45</v>
      </c>
      <c r="B2" t="s">
        <v>46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</row>
    <row r="3" spans="1:8" x14ac:dyDescent="0.3">
      <c r="A3" t="s">
        <v>48</v>
      </c>
      <c r="B3" t="s">
        <v>49</v>
      </c>
      <c r="C3" t="s">
        <v>47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</row>
    <row r="4" spans="1:8" x14ac:dyDescent="0.3">
      <c r="A4" t="s">
        <v>50</v>
      </c>
      <c r="B4" t="s">
        <v>51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</row>
    <row r="5" spans="1:8" x14ac:dyDescent="0.3">
      <c r="A5" t="s">
        <v>52</v>
      </c>
      <c r="B5" t="s">
        <v>53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</row>
    <row r="6" spans="1:8" x14ac:dyDescent="0.3">
      <c r="A6" t="s">
        <v>54</v>
      </c>
      <c r="B6" t="s">
        <v>55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</row>
    <row r="7" spans="1:8" x14ac:dyDescent="0.3">
      <c r="A7" t="s">
        <v>56</v>
      </c>
      <c r="B7" t="s">
        <v>55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</row>
    <row r="8" spans="1:8" x14ac:dyDescent="0.3">
      <c r="A8" t="s">
        <v>57</v>
      </c>
      <c r="B8" t="s">
        <v>58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</row>
    <row r="9" spans="1:8" x14ac:dyDescent="0.3">
      <c r="A9" t="s">
        <v>59</v>
      </c>
      <c r="B9" t="s">
        <v>60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</row>
    <row r="10" spans="1:8" x14ac:dyDescent="0.3">
      <c r="A10" t="s">
        <v>61</v>
      </c>
      <c r="B10" t="s">
        <v>62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</row>
    <row r="11" spans="1:8" x14ac:dyDescent="0.3">
      <c r="A11" t="s">
        <v>63</v>
      </c>
      <c r="B11" t="s">
        <v>62</v>
      </c>
      <c r="C11" t="s">
        <v>64</v>
      </c>
      <c r="D11" t="s">
        <v>65</v>
      </c>
      <c r="E11" t="s">
        <v>66</v>
      </c>
      <c r="F11" t="s">
        <v>67</v>
      </c>
    </row>
    <row r="12" spans="1:8" x14ac:dyDescent="0.3">
      <c r="A12" t="s">
        <v>68</v>
      </c>
      <c r="B12" t="s">
        <v>62</v>
      </c>
      <c r="C12" t="s">
        <v>69</v>
      </c>
      <c r="D12" t="s">
        <v>70</v>
      </c>
      <c r="E12" t="s">
        <v>49</v>
      </c>
      <c r="F12" t="s">
        <v>55</v>
      </c>
    </row>
    <row r="13" spans="1:8" x14ac:dyDescent="0.3">
      <c r="A13" t="s">
        <v>71</v>
      </c>
      <c r="B13" t="s">
        <v>72</v>
      </c>
      <c r="G13" t="s">
        <v>73</v>
      </c>
    </row>
    <row r="14" spans="1:8" x14ac:dyDescent="0.3">
      <c r="A14" t="s">
        <v>74</v>
      </c>
      <c r="B14" t="s">
        <v>75</v>
      </c>
      <c r="H14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/>
  </sheetViews>
  <sheetFormatPr defaultColWidth="8.6640625" defaultRowHeight="14.4" x14ac:dyDescent="0.3"/>
  <sheetData>
    <row r="1" spans="1:11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/>
      <c r="I1" s="1"/>
      <c r="J1" s="1"/>
      <c r="K1" s="1"/>
    </row>
    <row r="2" spans="1:11" x14ac:dyDescent="0.3">
      <c r="A2" t="s">
        <v>84</v>
      </c>
      <c r="B2" t="s">
        <v>19</v>
      </c>
      <c r="C2" t="s">
        <v>23</v>
      </c>
      <c r="D2" t="s">
        <v>85</v>
      </c>
      <c r="E2" t="s">
        <v>4</v>
      </c>
      <c r="F2" t="str">
        <f>IF(COUNTIF(Vocab!$A$2:$A$10,B2)=0,"ERROR",IF(COUNTIF(Vocab!$B$2:$B$10,C2)=0,"ERROR",IF(C2="RollbackDetected","S5 FAIL_SAFE",IF(B2="S6 TOOL_QUARANTINE","S6 TOOL_QUARANTINE",IFERROR(IF(D2="true",INDEX(Spec12!$B$2:$B$9,MATCH(B2&amp;"|"&amp;C2,Spec12!$A$2:$A$9,0)),INDEX(Spec12!$C$2:$C$9,MATCH(B2&amp;"|"&amp;C2,Spec12!$A$2:$A$9,0))),"ERROR")))))</f>
        <v>S1 SNAPSHOT_LOCKED</v>
      </c>
      <c r="G2" t="str">
        <f t="shared" ref="G2:G14" si="0">IF(F2=E2,"PASS","FAIL")</f>
        <v>PASS</v>
      </c>
    </row>
    <row r="3" spans="1:11" x14ac:dyDescent="0.3">
      <c r="A3" t="s">
        <v>86</v>
      </c>
      <c r="B3" t="s">
        <v>7</v>
      </c>
      <c r="C3" t="s">
        <v>27</v>
      </c>
      <c r="D3" t="s">
        <v>85</v>
      </c>
      <c r="E3" t="s">
        <v>9</v>
      </c>
      <c r="F3" t="str">
        <f>IF(COUNTIF(Vocab!$A$2:$A$10,B3)=0,"ERROR",IF(COUNTIF(Vocab!$B$2:$B$10,C3)=0,"ERROR",IF(C3="RollbackDetected","S5 FAIL_SAFE",IF(B3="S6 TOOL_QUARANTINE","S6 TOOL_QUARANTINE",IFERROR(IF(D3="true",INDEX(Spec12!$B$2:$B$9,MATCH(B3&amp;"|"&amp;C3,Spec12!$A$2:$A$9,0)),INDEX(Spec12!$C$2:$C$9,MATCH(B3&amp;"|"&amp;C3,Spec12!$A$2:$A$9,0))),"ERROR")))))</f>
        <v>S3 ELIGIBLE_HEAD_SELECTED</v>
      </c>
      <c r="G3" t="str">
        <f t="shared" si="0"/>
        <v>PASS</v>
      </c>
    </row>
    <row r="4" spans="1:11" x14ac:dyDescent="0.3">
      <c r="A4" t="s">
        <v>87</v>
      </c>
      <c r="B4" t="s">
        <v>9</v>
      </c>
      <c r="C4" t="s">
        <v>29</v>
      </c>
      <c r="D4" t="s">
        <v>85</v>
      </c>
      <c r="E4" t="s">
        <v>11</v>
      </c>
      <c r="F4" t="str">
        <f>IF(COUNTIF(Vocab!$A$2:$A$10,B4)=0,"ERROR",IF(COUNTIF(Vocab!$B$2:$B$10,C4)=0,"ERROR",IF(C4="RollbackDetected","S5 FAIL_SAFE",IF(B4="S6 TOOL_QUARANTINE","S6 TOOL_QUARANTINE",IFERROR(IF(D4="true",INDEX(Spec12!$B$2:$B$9,MATCH(B4&amp;"|"&amp;C4,Spec12!$A$2:$A$9,0)),INDEX(Spec12!$C$2:$C$9,MATCH(B4&amp;"|"&amp;C4,Spec12!$A$2:$A$9,0))),"ERROR")))))</f>
        <v>S4 REHYDRATED_VALIDATED</v>
      </c>
      <c r="G4" t="str">
        <f t="shared" si="0"/>
        <v>PASS</v>
      </c>
    </row>
    <row r="5" spans="1:11" x14ac:dyDescent="0.3">
      <c r="A5" t="s">
        <v>88</v>
      </c>
      <c r="B5" t="s">
        <v>7</v>
      </c>
      <c r="C5" t="s">
        <v>27</v>
      </c>
      <c r="D5" t="s">
        <v>89</v>
      </c>
      <c r="E5" t="s">
        <v>5</v>
      </c>
      <c r="F5" t="str">
        <f>IF(COUNTIF(Vocab!$A$2:$A$10,B5)=0,"ERROR",IF(COUNTIF(Vocab!$B$2:$B$10,C5)=0,"ERROR",IF(C5="RollbackDetected","S5 FAIL_SAFE",IF(B5="S6 TOOL_QUARANTINE","S6 TOOL_QUARANTINE",IFERROR(IF(D5="true",INDEX(Spec12!$B$2:$B$9,MATCH(B5&amp;"|"&amp;C5,Spec12!$A$2:$A$9,0)),INDEX(Spec12!$C$2:$C$9,MATCH(B5&amp;"|"&amp;C5,Spec12!$A$2:$A$9,0))),"ERROR")))))</f>
        <v>S5 FAIL_SAFE</v>
      </c>
      <c r="G5" t="str">
        <f t="shared" si="0"/>
        <v>PASS</v>
      </c>
    </row>
    <row r="6" spans="1:11" x14ac:dyDescent="0.3">
      <c r="A6" t="s">
        <v>90</v>
      </c>
      <c r="B6" t="s">
        <v>7</v>
      </c>
      <c r="C6" t="s">
        <v>27</v>
      </c>
      <c r="D6" t="s">
        <v>89</v>
      </c>
      <c r="E6" t="s">
        <v>5</v>
      </c>
      <c r="F6" t="str">
        <f>IF(COUNTIF(Vocab!$A$2:$A$10,B6)=0,"ERROR",IF(COUNTIF(Vocab!$B$2:$B$10,C6)=0,"ERROR",IF(C6="RollbackDetected","S5 FAIL_SAFE",IF(B6="S6 TOOL_QUARANTINE","S6 TOOL_QUARANTINE",IFERROR(IF(D6="true",INDEX(Spec12!$B$2:$B$9,MATCH(B6&amp;"|"&amp;C6,Spec12!$A$2:$A$9,0)),INDEX(Spec12!$C$2:$C$9,MATCH(B6&amp;"|"&amp;C6,Spec12!$A$2:$A$9,0))),"ERROR")))))</f>
        <v>S5 FAIL_SAFE</v>
      </c>
      <c r="G6" t="str">
        <f t="shared" si="0"/>
        <v>PASS</v>
      </c>
    </row>
    <row r="7" spans="1:11" x14ac:dyDescent="0.3">
      <c r="A7" t="s">
        <v>91</v>
      </c>
      <c r="B7" t="s">
        <v>7</v>
      </c>
      <c r="C7" t="s">
        <v>27</v>
      </c>
      <c r="D7" t="s">
        <v>89</v>
      </c>
      <c r="E7" t="s">
        <v>5</v>
      </c>
      <c r="F7" t="str">
        <f>IF(COUNTIF(Vocab!$A$2:$A$10,B7)=0,"ERROR",IF(COUNTIF(Vocab!$B$2:$B$10,C7)=0,"ERROR",IF(C7="RollbackDetected","S5 FAIL_SAFE",IF(B7="S6 TOOL_QUARANTINE","S6 TOOL_QUARANTINE",IFERROR(IF(D7="true",INDEX(Spec12!$B$2:$B$9,MATCH(B7&amp;"|"&amp;C7,Spec12!$A$2:$A$9,0)),INDEX(Spec12!$C$2:$C$9,MATCH(B7&amp;"|"&amp;C7,Spec12!$A$2:$A$9,0))),"ERROR")))))</f>
        <v>S5 FAIL_SAFE</v>
      </c>
      <c r="G7" t="str">
        <f t="shared" si="0"/>
        <v>PASS</v>
      </c>
    </row>
    <row r="8" spans="1:11" x14ac:dyDescent="0.3">
      <c r="A8" t="s">
        <v>92</v>
      </c>
      <c r="B8" t="s">
        <v>7</v>
      </c>
      <c r="C8" t="s">
        <v>27</v>
      </c>
      <c r="D8" t="s">
        <v>89</v>
      </c>
      <c r="E8" t="s">
        <v>5</v>
      </c>
      <c r="F8" t="str">
        <f>IF(COUNTIF(Vocab!$A$2:$A$10,B8)=0,"ERROR",IF(COUNTIF(Vocab!$B$2:$B$10,C8)=0,"ERROR",IF(C8="RollbackDetected","S5 FAIL_SAFE",IF(B8="S6 TOOL_QUARANTINE","S6 TOOL_QUARANTINE",IFERROR(IF(D8="true",INDEX(Spec12!$B$2:$B$9,MATCH(B8&amp;"|"&amp;C8,Spec12!$A$2:$A$9,0)),INDEX(Spec12!$C$2:$C$9,MATCH(B8&amp;"|"&amp;C8,Spec12!$A$2:$A$9,0))),"ERROR")))))</f>
        <v>S5 FAIL_SAFE</v>
      </c>
      <c r="G8" t="str">
        <f t="shared" si="0"/>
        <v>PASS</v>
      </c>
    </row>
    <row r="9" spans="1:11" x14ac:dyDescent="0.3">
      <c r="A9" t="s">
        <v>93</v>
      </c>
      <c r="B9" t="s">
        <v>9</v>
      </c>
      <c r="C9" t="s">
        <v>29</v>
      </c>
      <c r="D9" t="s">
        <v>89</v>
      </c>
      <c r="E9" t="s">
        <v>5</v>
      </c>
      <c r="F9" t="str">
        <f>IF(COUNTIF(Vocab!$A$2:$A$10,B9)=0,"ERROR",IF(COUNTIF(Vocab!$B$2:$B$10,C9)=0,"ERROR",IF(C9="RollbackDetected","S5 FAIL_SAFE",IF(B9="S6 TOOL_QUARANTINE","S6 TOOL_QUARANTINE",IFERROR(IF(D9="true",INDEX(Spec12!$B$2:$B$9,MATCH(B9&amp;"|"&amp;C9,Spec12!$A$2:$A$9,0)),INDEX(Spec12!$C$2:$C$9,MATCH(B9&amp;"|"&amp;C9,Spec12!$A$2:$A$9,0))),"ERROR")))))</f>
        <v>S5 FAIL_SAFE</v>
      </c>
      <c r="G9" t="str">
        <f t="shared" si="0"/>
        <v>PASS</v>
      </c>
    </row>
    <row r="10" spans="1:11" x14ac:dyDescent="0.3">
      <c r="A10" t="s">
        <v>94</v>
      </c>
      <c r="B10" t="s">
        <v>9</v>
      </c>
      <c r="C10" t="s">
        <v>29</v>
      </c>
      <c r="D10" t="s">
        <v>89</v>
      </c>
      <c r="E10" t="s">
        <v>5</v>
      </c>
      <c r="F10" t="str">
        <f>IF(COUNTIF(Vocab!$A$2:$A$10,B10)=0,"ERROR",IF(COUNTIF(Vocab!$B$2:$B$10,C10)=0,"ERROR",IF(C10="RollbackDetected","S5 FAIL_SAFE",IF(B10="S6 TOOL_QUARANTINE","S6 TOOL_QUARANTINE",IFERROR(IF(D10="true",INDEX(Spec12!$B$2:$B$9,MATCH(B10&amp;"|"&amp;C10,Spec12!$A$2:$A$9,0)),INDEX(Spec12!$C$2:$C$9,MATCH(B10&amp;"|"&amp;C10,Spec12!$A$2:$A$9,0))),"ERROR")))))</f>
        <v>S5 FAIL_SAFE</v>
      </c>
      <c r="G10" t="str">
        <f t="shared" si="0"/>
        <v>PASS</v>
      </c>
    </row>
    <row r="11" spans="1:11" x14ac:dyDescent="0.3">
      <c r="A11" t="s">
        <v>95</v>
      </c>
      <c r="B11" t="s">
        <v>19</v>
      </c>
      <c r="C11" t="s">
        <v>23</v>
      </c>
      <c r="D11" t="s">
        <v>89</v>
      </c>
      <c r="E11" t="s">
        <v>5</v>
      </c>
      <c r="F11" t="str">
        <f>IF(COUNTIF(Vocab!$A$2:$A$10,B11)=0,"ERROR",IF(COUNTIF(Vocab!$B$2:$B$10,C11)=0,"ERROR",IF(C11="RollbackDetected","S5 FAIL_SAFE",IF(B11="S6 TOOL_QUARANTINE","S6 TOOL_QUARANTINE",IFERROR(IF(D11="true",INDEX(Spec12!$B$2:$B$9,MATCH(B11&amp;"|"&amp;C11,Spec12!$A$2:$A$9,0)),INDEX(Spec12!$C$2:$C$9,MATCH(B11&amp;"|"&amp;C11,Spec12!$A$2:$A$9,0))),"ERROR")))))</f>
        <v>S5 FAIL_SAFE</v>
      </c>
      <c r="G11" t="str">
        <f t="shared" si="0"/>
        <v>PASS</v>
      </c>
    </row>
    <row r="12" spans="1:11" x14ac:dyDescent="0.3">
      <c r="A12" t="s">
        <v>96</v>
      </c>
      <c r="B12" t="s">
        <v>9</v>
      </c>
      <c r="C12" t="s">
        <v>31</v>
      </c>
      <c r="D12" t="s">
        <v>85</v>
      </c>
      <c r="E12" t="s">
        <v>5</v>
      </c>
      <c r="F12" t="str">
        <f>IF(COUNTIF(Vocab!$A$2:$A$10,B12)=0,"ERROR",IF(COUNTIF(Vocab!$B$2:$B$10,C12)=0,"ERROR",IF(C12="RollbackDetected","S5 FAIL_SAFE",IF(B12="S6 TOOL_QUARANTINE","S6 TOOL_QUARANTINE",IFERROR(IF(D12="true",INDEX(Spec12!$B$2:$B$9,MATCH(B12&amp;"|"&amp;C12,Spec12!$A$2:$A$9,0)),INDEX(Spec12!$C$2:$C$9,MATCH(B12&amp;"|"&amp;C12,Spec12!$A$2:$A$9,0))),"ERROR")))))</f>
        <v>S5 FAIL_SAFE</v>
      </c>
      <c r="G12" t="str">
        <f t="shared" si="0"/>
        <v>PASS</v>
      </c>
    </row>
    <row r="13" spans="1:11" x14ac:dyDescent="0.3">
      <c r="A13" t="s">
        <v>97</v>
      </c>
      <c r="B13" t="s">
        <v>5</v>
      </c>
      <c r="C13" t="s">
        <v>34</v>
      </c>
      <c r="D13" t="s">
        <v>85</v>
      </c>
      <c r="E13" t="s">
        <v>15</v>
      </c>
      <c r="F13" t="str">
        <f>IF(COUNTIF(Vocab!$A$2:$A$10,B13)=0,"ERROR",IF(COUNTIF(Vocab!$B$2:$B$10,C13)=0,"ERROR",IF(C13="RollbackDetected","S5 FAIL_SAFE",IF(B13="S6 TOOL_QUARANTINE","S6 TOOL_QUARANTINE",IFERROR(IF(D13="true",INDEX(Spec12!$B$2:$B$9,MATCH(B13&amp;"|"&amp;C13,Spec12!$A$2:$A$9,0)),INDEX(Spec12!$C$2:$C$9,MATCH(B13&amp;"|"&amp;C13,Spec12!$A$2:$A$9,0))),"ERROR")))))</f>
        <v>S7 RECOVERY_REPLAY</v>
      </c>
      <c r="G13" t="str">
        <f t="shared" si="0"/>
        <v>PASS</v>
      </c>
    </row>
    <row r="14" spans="1:11" x14ac:dyDescent="0.3">
      <c r="A14" t="s">
        <v>98</v>
      </c>
      <c r="B14" t="s">
        <v>9</v>
      </c>
      <c r="C14" t="s">
        <v>33</v>
      </c>
      <c r="D14" t="s">
        <v>85</v>
      </c>
      <c r="E14" t="s">
        <v>13</v>
      </c>
      <c r="F14" t="str">
        <f>IF(COUNTIF(Vocab!$A$2:$A$10,B14)=0,"ERROR",IF(COUNTIF(Vocab!$B$2:$B$10,C14)=0,"ERROR",IF(C14="RollbackDetected","S5 FAIL_SAFE",IF(B14="S6 TOOL_QUARANTINE","S6 TOOL_QUARANTINE",IFERROR(IF(D14="true",INDEX(Spec12!$B$2:$B$9,MATCH(B14&amp;"|"&amp;C14,Spec12!$A$2:$A$9,0)),INDEX(Spec12!$C$2:$C$9,MATCH(B14&amp;"|"&amp;C14,Spec12!$A$2:$A$9,0))),"ERROR")))))</f>
        <v>S6 TOOL_QUARANTINE</v>
      </c>
      <c r="G14" t="str">
        <f t="shared" si="0"/>
        <v>PASS</v>
      </c>
    </row>
    <row r="15" spans="1:11" x14ac:dyDescent="0.3">
      <c r="A15" t="s">
        <v>99</v>
      </c>
      <c r="B15" t="s">
        <v>9</v>
      </c>
      <c r="C15" t="s">
        <v>33</v>
      </c>
      <c r="D15" t="s">
        <v>85</v>
      </c>
      <c r="E15" t="s">
        <v>100</v>
      </c>
      <c r="F15" t="str">
        <f>IF(COUNTIF(Vocab!$A$2:$A$10,B15)=0,"ERROR",IF(COUNTIF(Vocab!$B$2:$B$10,C15)=0,"ERROR",IF(C15="RollbackDetected","S5 FAIL_SAFE",IF(B15="S6 TOOL_QUARANTINE","S6 TOOL_QUARANTINE",IFERROR(IF(D15="true",INDEX(Spec12!$B$2:$B$9,MATCH(B15&amp;"|"&amp;C15,Spec12!$A$2:$A$9,0)),INDEX(Spec12!$C$2:$C$9,MATCH(B15&amp;"|"&amp;C15,Spec12!$A$2:$A$9,0))),"ERROR")))))</f>
        <v>S6 TOOL_QUARANTINE</v>
      </c>
      <c r="G15" t="str">
        <f>IF(AND(F15="S6 TOOL_QUARANTINE",K15="S4 REHYDRATED_VALIDATED",F15&lt;&gt;K15),"PASS","FAIL")</f>
        <v>PASS</v>
      </c>
      <c r="H15" t="s">
        <v>9</v>
      </c>
      <c r="I15" t="s">
        <v>29</v>
      </c>
      <c r="J15" t="s">
        <v>85</v>
      </c>
      <c r="K15" t="str">
        <f>IF(COUNTIF(Vocab!$A$2:$A$10,H15)=0,"ERROR",IF(COUNTIF(Vocab!$B$2:$B$10,I15)=0,"ERROR",IF(I15="RollbackDetected","S5 FAIL_SAFE",IF(H15="S6 TOOL_QUARANTINE","S6 TOOL_QUARANTINE",IFERROR(IF(J15="true",INDEX(Spec12!$B$2:$B$9,MATCH(H15&amp;"|"&amp;I15,Spec12!$A$2:$A$9,0)),INDEX(Spec12!$C$2:$C$9,MATCH(H15&amp;"|"&amp;I15,Spec12!$A$2:$A$9,0))),"ERROR")))))</f>
        <v>S4 REHYDRATED_VALIDATED</v>
      </c>
    </row>
    <row r="16" spans="1:11" x14ac:dyDescent="0.3">
      <c r="A16" t="s">
        <v>101</v>
      </c>
      <c r="B16" t="s">
        <v>13</v>
      </c>
      <c r="C16" t="s">
        <v>23</v>
      </c>
      <c r="D16" t="s">
        <v>85</v>
      </c>
      <c r="E16" t="s">
        <v>13</v>
      </c>
      <c r="F16" t="str">
        <f>IF(COUNTIF(Vocab!$A$2:$A$10,B16)=0,"ERROR",IF(COUNTIF(Vocab!$B$2:$B$10,C16)=0,"ERROR",IF(C16="RollbackDetected","S5 FAIL_SAFE",IF(B16="S6 TOOL_QUARANTINE","S6 TOOL_QUARANTINE",IFERROR(IF(D16="true",INDEX(Spec12!$B$2:$B$9,MATCH(B16&amp;"|"&amp;C16,Spec12!$A$2:$A$9,0)),INDEX(Spec12!$C$2:$C$9,MATCH(B16&amp;"|"&amp;C16,Spec12!$A$2:$A$9,0))),"ERROR")))))</f>
        <v>S6 TOOL_QUARANTINE</v>
      </c>
      <c r="G16" t="str">
        <f>IF(F16=E16,"PASS","FAIL")</f>
        <v>PASS</v>
      </c>
    </row>
    <row r="17" spans="1:7" x14ac:dyDescent="0.3">
      <c r="A17" t="s">
        <v>102</v>
      </c>
      <c r="G17" t="str">
        <f>IF(AND(INDEX(Evidence!$G$2:$G$14,MATCH("validator_bundle_id",Evidence!$A$2:$A$14,0))&lt;&gt;"",INDEX(Evidence!$G$2:$G$14,MATCH("snapshot_id",Evidence!$A$2:$A$14,0))&lt;&gt;""),"PASS","FAIL")</f>
        <v>PASS</v>
      </c>
    </row>
    <row r="18" spans="1:7" x14ac:dyDescent="0.3">
      <c r="A18" t="s">
        <v>103</v>
      </c>
      <c r="G18" t="str">
        <f>IF(AND(INDEX(Evidence!$E$2:$E$14,MATCH("validator_bundle_id",Evidence!$A$2:$A$14,0))&lt;&gt;"",INDEX(Evidence!$E$2:$E$14,MATCH("verified_head_digest",Evidence!$A$2:$A$14,0))&lt;&gt;"",INDEX(Evidence!$E$2:$E$14,MATCH("snapshot_id",Evidence!$A$2:$A$14,0))&lt;&gt;"",INDEX(Evidence!$E$2:$E$14,MATCH("policy_id",Evidence!$A$2:$A$14,0))&lt;&gt;"",INDEX(Evidence!$E$2:$E$14,MATCH("source_id",Evidence!$A$2:$A$14,0))&lt;&gt;"",INDEX(Evidence!$E$2:$E$14,MATCH("freshness_value",Evidence!$A$2:$A$14,0))&lt;&gt;"",INDEX(Evidence!$E$2:$E$14,MATCH("irr_digest",Evidence!$A$2:$A$14,0))&lt;&gt;"",INDEX(Evidence!$E$2:$E$14,MATCH("tool_activation_status",Evidence!$A$2:$A$14,0))&lt;&gt;""),"PASS","FAIL")</f>
        <v>PASS</v>
      </c>
    </row>
    <row r="19" spans="1:7" x14ac:dyDescent="0.3">
      <c r="A19" t="s">
        <v>104</v>
      </c>
      <c r="G19" t="str">
        <f>IF(AND(INDEX(Evidence!$C$2:$C$14,MATCH("failure_code",Evidence!$A$2:$A$14,0))&lt;&gt;"",INDEX(Evidence!$C$2:$C$14,MATCH("failed_validator",Evidence!$A$2:$A$14,0))&lt;&gt;"",INDEX(Evidence!$C$2:$C$14,MATCH("suppression_status",Evidence!$A$2:$A$14,0))&lt;&gt;""),"PASS","FAIL")</f>
        <v>PASS</v>
      </c>
    </row>
    <row r="20" spans="1:7" x14ac:dyDescent="0.3">
      <c r="A20" t="s">
        <v>105</v>
      </c>
      <c r="G20" t="str">
        <f>IF(INDEX(Evidence!$G$2:$G$14,MATCH("recovery_phase",Evidence!$A$2:$A$14,0))&lt;&gt;"","PASS","FAIL")</f>
        <v>PASS</v>
      </c>
    </row>
    <row r="21" spans="1:7" x14ac:dyDescent="0.3">
      <c r="A21" t="s">
        <v>106</v>
      </c>
      <c r="G21" t="str">
        <f>IF(INDEX(Evidence!$H$2:$H$14,MATCH("readmission_token_id",Evidence!$A$2:$A$14,0))&lt;&gt;"","PASS","FAIL")</f>
        <v>PASS</v>
      </c>
    </row>
    <row r="22" spans="1:7" x14ac:dyDescent="0.3">
      <c r="A22" t="s">
        <v>107</v>
      </c>
      <c r="G22" t="str">
        <f>IF(AND(INDEX(Evidence!$B$2:$B$14,MATCH("verified_head_digest",Evidence!$A$2:$A$14,0))="V_CHAIN",INDEX(Evidence!$B$2:$B$14,MATCH("snapshot_id",Evidence!$A$2:$A$14,0))="V_SNAPSHOT",INDEX(Evidence!$B$2:$B$14,MATCH("validator_bundle_id",Evidence!$A$2:$A$14,0))="EXECUTION_LAYER"),"PASS","FAIL")</f>
        <v>PASS</v>
      </c>
    </row>
    <row r="23" spans="1:7" x14ac:dyDescent="0.3">
      <c r="A23" t="s">
        <v>108</v>
      </c>
      <c r="G23" t="str">
        <f>IF(INDEX(Vocab!$C$2:$C$6,2)&lt;&gt;"S5 FAIL_SAFE","PASS","FAIL")</f>
        <v>PASS</v>
      </c>
    </row>
    <row r="24" spans="1:7" x14ac:dyDescent="0.3">
      <c r="A24" t="s">
        <v>109</v>
      </c>
      <c r="G24" t="str">
        <f>IF(AND(Vocab!C3&lt;&gt;Vocab!C4,Vocab!C4&lt;&gt;Vocab!C5,Vocab!C3&lt;&gt;Vocab!C5),"PASS","FAIL")</f>
        <v>PASS</v>
      </c>
    </row>
    <row r="25" spans="1:7" x14ac:dyDescent="0.3">
      <c r="A25" t="s">
        <v>110</v>
      </c>
      <c r="B25" t="s">
        <v>17</v>
      </c>
      <c r="C25" t="s">
        <v>36</v>
      </c>
      <c r="D25" t="s">
        <v>85</v>
      </c>
      <c r="E25" t="s">
        <v>111</v>
      </c>
      <c r="F25" t="str">
        <f>IF(COUNTIF(Vocab!$A$2:$A$10,B25)=0,"ERROR",IF(COUNTIF(Vocab!$B$2:$B$10,C25)=0,"ERROR",IF(C25="RollbackDetected","S5 FAIL_SAFE",IF(B25="S6 TOOL_QUARANTINE","S6 TOOL_QUARANTINE",IFERROR(IF(D25="true",INDEX(Spec12!$B$2:$B$9,MATCH(B25&amp;"|"&amp;C25,Spec12!$A$2:$A$9,0)),INDEX(Spec12!$C$2:$C$9,MATCH(B25&amp;"|"&amp;C25,Spec12!$A$2:$A$9,0))),"ERROR")))))</f>
        <v>S0 STARTUP_READONLY</v>
      </c>
      <c r="G25" t="str">
        <f>IF(OR(F25="S0 STARTUP_READONLY",F25="S1 SNAPSHOT_LOCKED"),"PASS","FAIL")</f>
        <v>PASS</v>
      </c>
    </row>
    <row r="26" spans="1:7" x14ac:dyDescent="0.3">
      <c r="A26" t="s">
        <v>112</v>
      </c>
      <c r="G26" t="str">
        <f>IF(AND(INDEX(Evidence!$F$2:$F$14,MATCH("freshness_value",Evidence!$A$2:$A$14,0))&lt;&gt;"",INDEX(Evidence!$F$2:$F$14,MATCH("policy_id",Evidence!$A$2:$A$14,0))&lt;&gt;"",INDEX(Evidence!$F$2:$F$14,MATCH("failed_validator",Evidence!$A$2:$A$14,0))="V_FRESHNESS"),"PASS","FAIL")</f>
        <v>PASS</v>
      </c>
    </row>
    <row r="27" spans="1:7" x14ac:dyDescent="0.3">
      <c r="A27" t="s">
        <v>113</v>
      </c>
      <c r="G27" t="str">
        <f>IF(AND(INDEX(Evidence!$G$2:$G$14,MATCH("recovery_phase",Evidence!$A$2:$A$14,0))&lt;&gt;"",INDEX(Evidence!$B$2:$B$14,MATCH("recovery_phase",Evidence!$A$2:$A$14,0))="V_WAL_PHASE"),"PASS","FAIL")</f>
        <v>PASS</v>
      </c>
    </row>
    <row r="28" spans="1:7" x14ac:dyDescent="0.3">
      <c r="A28" t="s">
        <v>114</v>
      </c>
      <c r="B28" t="s">
        <v>9</v>
      </c>
      <c r="C28" t="s">
        <v>33</v>
      </c>
      <c r="D28" t="s">
        <v>85</v>
      </c>
      <c r="E28" t="s">
        <v>13</v>
      </c>
      <c r="F28" t="str">
        <f>IF(COUNTIF(Vocab!$A$2:$A$10,B28)=0,"ERROR",IF(COUNTIF(Vocab!$B$2:$B$10,C28)=0,"ERROR",IF(C28="RollbackDetected","S5 FAIL_SAFE",IF(B28="S6 TOOL_QUARANTINE","S6 TOOL_QUARANTINE",IFERROR(IF(D28="true",INDEX(Spec12!$B$2:$B$9,MATCH(B28&amp;"|"&amp;C28,Spec12!$A$2:$A$9,0)),INDEX(Spec12!$C$2:$C$9,MATCH(B28&amp;"|"&amp;C28,Spec12!$A$2:$A$9,0))),"ERROR")))))</f>
        <v>S6 TOOL_QUARANTINE</v>
      </c>
      <c r="G28" t="str">
        <f>IF(F28=E28,"PASS","FAIL")</f>
        <v>PASS</v>
      </c>
    </row>
    <row r="29" spans="1:7" x14ac:dyDescent="0.3">
      <c r="A29" t="s">
        <v>115</v>
      </c>
      <c r="E29" t="s">
        <v>116</v>
      </c>
      <c r="G29" t="s">
        <v>117</v>
      </c>
    </row>
    <row r="30" spans="1:7" x14ac:dyDescent="0.3">
      <c r="A30" t="s">
        <v>118</v>
      </c>
      <c r="E30" t="s">
        <v>119</v>
      </c>
      <c r="G30" t="s">
        <v>117</v>
      </c>
    </row>
    <row r="32" spans="1:7" x14ac:dyDescent="0.3">
      <c r="A32" t="s">
        <v>120</v>
      </c>
      <c r="E32" t="s">
        <v>121</v>
      </c>
      <c r="F32">
        <f>COUNTIF($G$2:$G$30,"PASS")</f>
        <v>27</v>
      </c>
    </row>
    <row r="33" spans="5:6" x14ac:dyDescent="0.3">
      <c r="E33" t="s">
        <v>122</v>
      </c>
      <c r="F33">
        <f>COUNTIF($G$2:$G$30,"FAIL")</f>
        <v>0</v>
      </c>
    </row>
    <row r="34" spans="5:6" x14ac:dyDescent="0.3">
      <c r="E34" t="s">
        <v>123</v>
      </c>
      <c r="F34">
        <f>COUNTIF($G$2:$G$30,"SKIP")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0"/>
  <sheetViews>
    <sheetView tabSelected="1" zoomScaleNormal="100" workbookViewId="0"/>
  </sheetViews>
  <sheetFormatPr defaultColWidth="8.6640625" defaultRowHeight="14.4" x14ac:dyDescent="0.3"/>
  <sheetData>
    <row r="1" spans="1:4" x14ac:dyDescent="0.3">
      <c r="A1" s="1" t="s">
        <v>78</v>
      </c>
      <c r="B1" s="1" t="s">
        <v>79</v>
      </c>
      <c r="C1" s="1" t="s">
        <v>80</v>
      </c>
      <c r="D1" s="1" t="s">
        <v>82</v>
      </c>
    </row>
    <row r="2" spans="1:4" x14ac:dyDescent="0.3">
      <c r="A2" t="s">
        <v>19</v>
      </c>
      <c r="B2" t="s">
        <v>23</v>
      </c>
      <c r="C2" t="s">
        <v>85</v>
      </c>
      <c r="D2" t="str">
        <f>IF(COUNTIF(Vocab!$A$2:$A$10,A2)=0,"ERROR",IF(COUNTIF(Vocab!$B$2:$B$10,B2)=0,"ERROR",IF(B2="RollbackDetected","S5 FAIL_SAFE",IF(A2="S6 TOOL_QUARANTINE","S6 TOOL_QUARANTINE",IFERROR(IF(C2="true",INDEX(Spec12!$B$2:$B$9,MATCH(A2&amp;"|"&amp;B2,Spec12!$A$2:$A$9,0)),INDEX(Spec12!$C$2:$C$9,MATCH(A2&amp;"|"&amp;B2,Spec12!$A$2:$A$9,0))),"ERROR")))))</f>
        <v>S1 SNAPSHOT_LOCKED</v>
      </c>
    </row>
    <row r="3" spans="1:4" x14ac:dyDescent="0.3">
      <c r="A3" t="s">
        <v>19</v>
      </c>
      <c r="B3" t="s">
        <v>23</v>
      </c>
      <c r="C3" t="s">
        <v>89</v>
      </c>
      <c r="D3" t="str">
        <f>IF(COUNTIF(Vocab!$A$2:$A$10,A3)=0,"ERROR",IF(COUNTIF(Vocab!$B$2:$B$10,B3)=0,"ERROR",IF(B3="RollbackDetected","S5 FAIL_SAFE",IF(A3="S6 TOOL_QUARANTINE","S6 TOOL_QUARANTINE",IFERROR(IF(C3="true",INDEX(Spec12!$B$2:$B$9,MATCH(A3&amp;"|"&amp;B3,Spec12!$A$2:$A$9,0)),INDEX(Spec12!$C$2:$C$9,MATCH(A3&amp;"|"&amp;B3,Spec12!$A$2:$A$9,0))),"ERROR")))))</f>
        <v>S5 FAIL_SAFE</v>
      </c>
    </row>
    <row r="4" spans="1:4" x14ac:dyDescent="0.3">
      <c r="A4" t="s">
        <v>19</v>
      </c>
      <c r="B4" t="s">
        <v>25</v>
      </c>
      <c r="C4" t="s">
        <v>85</v>
      </c>
      <c r="D4" t="str">
        <f>IF(COUNTIF(Vocab!$A$2:$A$10,A4)=0,"ERROR",IF(COUNTIF(Vocab!$B$2:$B$10,B4)=0,"ERROR",IF(B4="RollbackDetected","S5 FAIL_SAFE",IF(A4="S6 TOOL_QUARANTINE","S6 TOOL_QUARANTINE",IFERROR(IF(C4="true",INDEX(Spec12!$B$2:$B$9,MATCH(A4&amp;"|"&amp;B4,Spec12!$A$2:$A$9,0)),INDEX(Spec12!$C$2:$C$9,MATCH(A4&amp;"|"&amp;B4,Spec12!$A$2:$A$9,0))),"ERROR")))))</f>
        <v>ERROR</v>
      </c>
    </row>
    <row r="5" spans="1:4" x14ac:dyDescent="0.3">
      <c r="A5" t="s">
        <v>19</v>
      </c>
      <c r="B5" t="s">
        <v>25</v>
      </c>
      <c r="C5" t="s">
        <v>89</v>
      </c>
      <c r="D5" t="str">
        <f>IF(COUNTIF(Vocab!$A$2:$A$10,A5)=0,"ERROR",IF(COUNTIF(Vocab!$B$2:$B$10,B5)=0,"ERROR",IF(B5="RollbackDetected","S5 FAIL_SAFE",IF(A5="S6 TOOL_QUARANTINE","S6 TOOL_QUARANTINE",IFERROR(IF(C5="true",INDEX(Spec12!$B$2:$B$9,MATCH(A5&amp;"|"&amp;B5,Spec12!$A$2:$A$9,0)),INDEX(Spec12!$C$2:$C$9,MATCH(A5&amp;"|"&amp;B5,Spec12!$A$2:$A$9,0))),"ERROR")))))</f>
        <v>ERROR</v>
      </c>
    </row>
    <row r="6" spans="1:4" x14ac:dyDescent="0.3">
      <c r="A6" t="s">
        <v>19</v>
      </c>
      <c r="B6" t="s">
        <v>27</v>
      </c>
      <c r="C6" t="s">
        <v>85</v>
      </c>
      <c r="D6" t="str">
        <f>IF(COUNTIF(Vocab!$A$2:$A$10,A6)=0,"ERROR",IF(COUNTIF(Vocab!$B$2:$B$10,B6)=0,"ERROR",IF(B6="RollbackDetected","S5 FAIL_SAFE",IF(A6="S6 TOOL_QUARANTINE","S6 TOOL_QUARANTINE",IFERROR(IF(C6="true",INDEX(Spec12!$B$2:$B$9,MATCH(A6&amp;"|"&amp;B6,Spec12!$A$2:$A$9,0)),INDEX(Spec12!$C$2:$C$9,MATCH(A6&amp;"|"&amp;B6,Spec12!$A$2:$A$9,0))),"ERROR")))))</f>
        <v>ERROR</v>
      </c>
    </row>
    <row r="7" spans="1:4" x14ac:dyDescent="0.3">
      <c r="A7" t="s">
        <v>19</v>
      </c>
      <c r="B7" t="s">
        <v>27</v>
      </c>
      <c r="C7" t="s">
        <v>89</v>
      </c>
      <c r="D7" t="str">
        <f>IF(COUNTIF(Vocab!$A$2:$A$10,A7)=0,"ERROR",IF(COUNTIF(Vocab!$B$2:$B$10,B7)=0,"ERROR",IF(B7="RollbackDetected","S5 FAIL_SAFE",IF(A7="S6 TOOL_QUARANTINE","S6 TOOL_QUARANTINE",IFERROR(IF(C7="true",INDEX(Spec12!$B$2:$B$9,MATCH(A7&amp;"|"&amp;B7,Spec12!$A$2:$A$9,0)),INDEX(Spec12!$C$2:$C$9,MATCH(A7&amp;"|"&amp;B7,Spec12!$A$2:$A$9,0))),"ERROR")))))</f>
        <v>ERROR</v>
      </c>
    </row>
    <row r="8" spans="1:4" x14ac:dyDescent="0.3">
      <c r="A8" t="s">
        <v>19</v>
      </c>
      <c r="B8" t="s">
        <v>29</v>
      </c>
      <c r="C8" t="s">
        <v>85</v>
      </c>
      <c r="D8" t="str">
        <f>IF(COUNTIF(Vocab!$A$2:$A$10,A8)=0,"ERROR",IF(COUNTIF(Vocab!$B$2:$B$10,B8)=0,"ERROR",IF(B8="RollbackDetected","S5 FAIL_SAFE",IF(A8="S6 TOOL_QUARANTINE","S6 TOOL_QUARANTINE",IFERROR(IF(C8="true",INDEX(Spec12!$B$2:$B$9,MATCH(A8&amp;"|"&amp;B8,Spec12!$A$2:$A$9,0)),INDEX(Spec12!$C$2:$C$9,MATCH(A8&amp;"|"&amp;B8,Spec12!$A$2:$A$9,0))),"ERROR")))))</f>
        <v>ERROR</v>
      </c>
    </row>
    <row r="9" spans="1:4" x14ac:dyDescent="0.3">
      <c r="A9" t="s">
        <v>19</v>
      </c>
      <c r="B9" t="s">
        <v>29</v>
      </c>
      <c r="C9" t="s">
        <v>89</v>
      </c>
      <c r="D9" t="str">
        <f>IF(COUNTIF(Vocab!$A$2:$A$10,A9)=0,"ERROR",IF(COUNTIF(Vocab!$B$2:$B$10,B9)=0,"ERROR",IF(B9="RollbackDetected","S5 FAIL_SAFE",IF(A9="S6 TOOL_QUARANTINE","S6 TOOL_QUARANTINE",IFERROR(IF(C9="true",INDEX(Spec12!$B$2:$B$9,MATCH(A9&amp;"|"&amp;B9,Spec12!$A$2:$A$9,0)),INDEX(Spec12!$C$2:$C$9,MATCH(A9&amp;"|"&amp;B9,Spec12!$A$2:$A$9,0))),"ERROR")))))</f>
        <v>ERROR</v>
      </c>
    </row>
    <row r="10" spans="1:4" x14ac:dyDescent="0.3">
      <c r="A10" t="s">
        <v>19</v>
      </c>
      <c r="B10" t="s">
        <v>31</v>
      </c>
      <c r="C10" t="s">
        <v>85</v>
      </c>
      <c r="D10" t="str">
        <f>IF(COUNTIF(Vocab!$A$2:$A$10,A10)=0,"ERROR",IF(COUNTIF(Vocab!$B$2:$B$10,B10)=0,"ERROR",IF(B10="RollbackDetected","S5 FAIL_SAFE",IF(A10="S6 TOOL_QUARANTINE","S6 TOOL_QUARANTINE",IFERROR(IF(C10="true",INDEX(Spec12!$B$2:$B$9,MATCH(A10&amp;"|"&amp;B10,Spec12!$A$2:$A$9,0)),INDEX(Spec12!$C$2:$C$9,MATCH(A10&amp;"|"&amp;B10,Spec12!$A$2:$A$9,0))),"ERROR")))))</f>
        <v>S5 FAIL_SAFE</v>
      </c>
    </row>
    <row r="11" spans="1:4" x14ac:dyDescent="0.3">
      <c r="A11" t="s">
        <v>19</v>
      </c>
      <c r="B11" t="s">
        <v>31</v>
      </c>
      <c r="C11" t="s">
        <v>89</v>
      </c>
      <c r="D11" t="str">
        <f>IF(COUNTIF(Vocab!$A$2:$A$10,A11)=0,"ERROR",IF(COUNTIF(Vocab!$B$2:$B$10,B11)=0,"ERROR",IF(B11="RollbackDetected","S5 FAIL_SAFE",IF(A11="S6 TOOL_QUARANTINE","S6 TOOL_QUARANTINE",IFERROR(IF(C11="true",INDEX(Spec12!$B$2:$B$9,MATCH(A11&amp;"|"&amp;B11,Spec12!$A$2:$A$9,0)),INDEX(Spec12!$C$2:$C$9,MATCH(A11&amp;"|"&amp;B11,Spec12!$A$2:$A$9,0))),"ERROR")))))</f>
        <v>S5 FAIL_SAFE</v>
      </c>
    </row>
    <row r="12" spans="1:4" x14ac:dyDescent="0.3">
      <c r="A12" t="s">
        <v>19</v>
      </c>
      <c r="B12" t="s">
        <v>33</v>
      </c>
      <c r="C12" t="s">
        <v>85</v>
      </c>
      <c r="D12" t="str">
        <f>IF(COUNTIF(Vocab!$A$2:$A$10,A12)=0,"ERROR",IF(COUNTIF(Vocab!$B$2:$B$10,B12)=0,"ERROR",IF(B12="RollbackDetected","S5 FAIL_SAFE",IF(A12="S6 TOOL_QUARANTINE","S6 TOOL_QUARANTINE",IFERROR(IF(C12="true",INDEX(Spec12!$B$2:$B$9,MATCH(A12&amp;"|"&amp;B12,Spec12!$A$2:$A$9,0)),INDEX(Spec12!$C$2:$C$9,MATCH(A12&amp;"|"&amp;B12,Spec12!$A$2:$A$9,0))),"ERROR")))))</f>
        <v>ERROR</v>
      </c>
    </row>
    <row r="13" spans="1:4" x14ac:dyDescent="0.3">
      <c r="A13" t="s">
        <v>19</v>
      </c>
      <c r="B13" t="s">
        <v>33</v>
      </c>
      <c r="C13" t="s">
        <v>89</v>
      </c>
      <c r="D13" t="str">
        <f>IF(COUNTIF(Vocab!$A$2:$A$10,A13)=0,"ERROR",IF(COUNTIF(Vocab!$B$2:$B$10,B13)=0,"ERROR",IF(B13="RollbackDetected","S5 FAIL_SAFE",IF(A13="S6 TOOL_QUARANTINE","S6 TOOL_QUARANTINE",IFERROR(IF(C13="true",INDEX(Spec12!$B$2:$B$9,MATCH(A13&amp;"|"&amp;B13,Spec12!$A$2:$A$9,0)),INDEX(Spec12!$C$2:$C$9,MATCH(A13&amp;"|"&amp;B13,Spec12!$A$2:$A$9,0))),"ERROR")))))</f>
        <v>ERROR</v>
      </c>
    </row>
    <row r="14" spans="1:4" x14ac:dyDescent="0.3">
      <c r="A14" t="s">
        <v>19</v>
      </c>
      <c r="B14" t="s">
        <v>34</v>
      </c>
      <c r="C14" t="s">
        <v>85</v>
      </c>
      <c r="D14" t="str">
        <f>IF(COUNTIF(Vocab!$A$2:$A$10,A14)=0,"ERROR",IF(COUNTIF(Vocab!$B$2:$B$10,B14)=0,"ERROR",IF(B14="RollbackDetected","S5 FAIL_SAFE",IF(A14="S6 TOOL_QUARANTINE","S6 TOOL_QUARANTINE",IFERROR(IF(C14="true",INDEX(Spec12!$B$2:$B$9,MATCH(A14&amp;"|"&amp;B14,Spec12!$A$2:$A$9,0)),INDEX(Spec12!$C$2:$C$9,MATCH(A14&amp;"|"&amp;B14,Spec12!$A$2:$A$9,0))),"ERROR")))))</f>
        <v>ERROR</v>
      </c>
    </row>
    <row r="15" spans="1:4" x14ac:dyDescent="0.3">
      <c r="A15" t="s">
        <v>19</v>
      </c>
      <c r="B15" t="s">
        <v>34</v>
      </c>
      <c r="C15" t="s">
        <v>89</v>
      </c>
      <c r="D15" t="str">
        <f>IF(COUNTIF(Vocab!$A$2:$A$10,A15)=0,"ERROR",IF(COUNTIF(Vocab!$B$2:$B$10,B15)=0,"ERROR",IF(B15="RollbackDetected","S5 FAIL_SAFE",IF(A15="S6 TOOL_QUARANTINE","S6 TOOL_QUARANTINE",IFERROR(IF(C15="true",INDEX(Spec12!$B$2:$B$9,MATCH(A15&amp;"|"&amp;B15,Spec12!$A$2:$A$9,0)),INDEX(Spec12!$C$2:$C$9,MATCH(A15&amp;"|"&amp;B15,Spec12!$A$2:$A$9,0))),"ERROR")))))</f>
        <v>ERROR</v>
      </c>
    </row>
    <row r="16" spans="1:4" x14ac:dyDescent="0.3">
      <c r="A16" t="s">
        <v>19</v>
      </c>
      <c r="B16" t="s">
        <v>35</v>
      </c>
      <c r="C16" t="s">
        <v>85</v>
      </c>
      <c r="D16" t="str">
        <f>IF(COUNTIF(Vocab!$A$2:$A$10,A16)=0,"ERROR",IF(COUNTIF(Vocab!$B$2:$B$10,B16)=0,"ERROR",IF(B16="RollbackDetected","S5 FAIL_SAFE",IF(A16="S6 TOOL_QUARANTINE","S6 TOOL_QUARANTINE",IFERROR(IF(C16="true",INDEX(Spec12!$B$2:$B$9,MATCH(A16&amp;"|"&amp;B16,Spec12!$A$2:$A$9,0)),INDEX(Spec12!$C$2:$C$9,MATCH(A16&amp;"|"&amp;B16,Spec12!$A$2:$A$9,0))),"ERROR")))))</f>
        <v>ERROR</v>
      </c>
    </row>
    <row r="17" spans="1:4" x14ac:dyDescent="0.3">
      <c r="A17" t="s">
        <v>19</v>
      </c>
      <c r="B17" t="s">
        <v>35</v>
      </c>
      <c r="C17" t="s">
        <v>89</v>
      </c>
      <c r="D17" t="str">
        <f>IF(COUNTIF(Vocab!$A$2:$A$10,A17)=0,"ERROR",IF(COUNTIF(Vocab!$B$2:$B$10,B17)=0,"ERROR",IF(B17="RollbackDetected","S5 FAIL_SAFE",IF(A17="S6 TOOL_QUARANTINE","S6 TOOL_QUARANTINE",IFERROR(IF(C17="true",INDEX(Spec12!$B$2:$B$9,MATCH(A17&amp;"|"&amp;B17,Spec12!$A$2:$A$9,0)),INDEX(Spec12!$C$2:$C$9,MATCH(A17&amp;"|"&amp;B17,Spec12!$A$2:$A$9,0))),"ERROR")))))</f>
        <v>ERROR</v>
      </c>
    </row>
    <row r="18" spans="1:4" x14ac:dyDescent="0.3">
      <c r="A18" t="s">
        <v>19</v>
      </c>
      <c r="B18" t="s">
        <v>36</v>
      </c>
      <c r="C18" t="s">
        <v>85</v>
      </c>
      <c r="D18" t="str">
        <f>IF(COUNTIF(Vocab!$A$2:$A$10,A18)=0,"ERROR",IF(COUNTIF(Vocab!$B$2:$B$10,B18)=0,"ERROR",IF(B18="RollbackDetected","S5 FAIL_SAFE",IF(A18="S6 TOOL_QUARANTINE","S6 TOOL_QUARANTINE",IFERROR(IF(C18="true",INDEX(Spec12!$B$2:$B$9,MATCH(A18&amp;"|"&amp;B18,Spec12!$A$2:$A$9,0)),INDEX(Spec12!$C$2:$C$9,MATCH(A18&amp;"|"&amp;B18,Spec12!$A$2:$A$9,0))),"ERROR")))))</f>
        <v>ERROR</v>
      </c>
    </row>
    <row r="19" spans="1:4" x14ac:dyDescent="0.3">
      <c r="A19" t="s">
        <v>19</v>
      </c>
      <c r="B19" t="s">
        <v>36</v>
      </c>
      <c r="C19" t="s">
        <v>89</v>
      </c>
      <c r="D19" t="str">
        <f>IF(COUNTIF(Vocab!$A$2:$A$10,A19)=0,"ERROR",IF(COUNTIF(Vocab!$B$2:$B$10,B19)=0,"ERROR",IF(B19="RollbackDetected","S5 FAIL_SAFE",IF(A19="S6 TOOL_QUARANTINE","S6 TOOL_QUARANTINE",IFERROR(IF(C19="true",INDEX(Spec12!$B$2:$B$9,MATCH(A19&amp;"|"&amp;B19,Spec12!$A$2:$A$9,0)),INDEX(Spec12!$C$2:$C$9,MATCH(A19&amp;"|"&amp;B19,Spec12!$A$2:$A$9,0))),"ERROR")))))</f>
        <v>ERROR</v>
      </c>
    </row>
    <row r="20" spans="1:4" x14ac:dyDescent="0.3">
      <c r="A20" t="s">
        <v>4</v>
      </c>
      <c r="B20" t="s">
        <v>23</v>
      </c>
      <c r="C20" t="s">
        <v>85</v>
      </c>
      <c r="D20" t="str">
        <f>IF(COUNTIF(Vocab!$A$2:$A$10,A20)=0,"ERROR",IF(COUNTIF(Vocab!$B$2:$B$10,B20)=0,"ERROR",IF(B20="RollbackDetected","S5 FAIL_SAFE",IF(A20="S6 TOOL_QUARANTINE","S6 TOOL_QUARANTINE",IFERROR(IF(C20="true",INDEX(Spec12!$B$2:$B$9,MATCH(A20&amp;"|"&amp;B20,Spec12!$A$2:$A$9,0)),INDEX(Spec12!$C$2:$C$9,MATCH(A20&amp;"|"&amp;B20,Spec12!$A$2:$A$9,0))),"ERROR")))))</f>
        <v>ERROR</v>
      </c>
    </row>
    <row r="21" spans="1:4" x14ac:dyDescent="0.3">
      <c r="A21" t="s">
        <v>4</v>
      </c>
      <c r="B21" t="s">
        <v>23</v>
      </c>
      <c r="C21" t="s">
        <v>89</v>
      </c>
      <c r="D21" t="str">
        <f>IF(COUNTIF(Vocab!$A$2:$A$10,A21)=0,"ERROR",IF(COUNTIF(Vocab!$B$2:$B$10,B21)=0,"ERROR",IF(B21="RollbackDetected","S5 FAIL_SAFE",IF(A21="S6 TOOL_QUARANTINE","S6 TOOL_QUARANTINE",IFERROR(IF(C21="true",INDEX(Spec12!$B$2:$B$9,MATCH(A21&amp;"|"&amp;B21,Spec12!$A$2:$A$9,0)),INDEX(Spec12!$C$2:$C$9,MATCH(A21&amp;"|"&amp;B21,Spec12!$A$2:$A$9,0))),"ERROR")))))</f>
        <v>ERROR</v>
      </c>
    </row>
    <row r="22" spans="1:4" x14ac:dyDescent="0.3">
      <c r="A22" t="s">
        <v>4</v>
      </c>
      <c r="B22" t="s">
        <v>25</v>
      </c>
      <c r="C22" t="s">
        <v>85</v>
      </c>
      <c r="D22" t="str">
        <f>IF(COUNTIF(Vocab!$A$2:$A$10,A22)=0,"ERROR",IF(COUNTIF(Vocab!$B$2:$B$10,B22)=0,"ERROR",IF(B22="RollbackDetected","S5 FAIL_SAFE",IF(A22="S6 TOOL_QUARANTINE","S6 TOOL_QUARANTINE",IFERROR(IF(C22="true",INDEX(Spec12!$B$2:$B$9,MATCH(A22&amp;"|"&amp;B22,Spec12!$A$2:$A$9,0)),INDEX(Spec12!$C$2:$C$9,MATCH(A22&amp;"|"&amp;B22,Spec12!$A$2:$A$9,0))),"ERROR")))))</f>
        <v>S2 STRUCTURAL_VERIFIED</v>
      </c>
    </row>
    <row r="23" spans="1:4" x14ac:dyDescent="0.3">
      <c r="A23" t="s">
        <v>4</v>
      </c>
      <c r="B23" t="s">
        <v>25</v>
      </c>
      <c r="C23" t="s">
        <v>89</v>
      </c>
      <c r="D23" t="str">
        <f>IF(COUNTIF(Vocab!$A$2:$A$10,A23)=0,"ERROR",IF(COUNTIF(Vocab!$B$2:$B$10,B23)=0,"ERROR",IF(B23="RollbackDetected","S5 FAIL_SAFE",IF(A23="S6 TOOL_QUARANTINE","S6 TOOL_QUARANTINE",IFERROR(IF(C23="true",INDEX(Spec12!$B$2:$B$9,MATCH(A23&amp;"|"&amp;B23,Spec12!$A$2:$A$9,0)),INDEX(Spec12!$C$2:$C$9,MATCH(A23&amp;"|"&amp;B23,Spec12!$A$2:$A$9,0))),"ERROR")))))</f>
        <v>S5 FAIL_SAFE</v>
      </c>
    </row>
    <row r="24" spans="1:4" x14ac:dyDescent="0.3">
      <c r="A24" t="s">
        <v>4</v>
      </c>
      <c r="B24" t="s">
        <v>27</v>
      </c>
      <c r="C24" t="s">
        <v>85</v>
      </c>
      <c r="D24" t="str">
        <f>IF(COUNTIF(Vocab!$A$2:$A$10,A24)=0,"ERROR",IF(COUNTIF(Vocab!$B$2:$B$10,B24)=0,"ERROR",IF(B24="RollbackDetected","S5 FAIL_SAFE",IF(A24="S6 TOOL_QUARANTINE","S6 TOOL_QUARANTINE",IFERROR(IF(C24="true",INDEX(Spec12!$B$2:$B$9,MATCH(A24&amp;"|"&amp;B24,Spec12!$A$2:$A$9,0)),INDEX(Spec12!$C$2:$C$9,MATCH(A24&amp;"|"&amp;B24,Spec12!$A$2:$A$9,0))),"ERROR")))))</f>
        <v>ERROR</v>
      </c>
    </row>
    <row r="25" spans="1:4" x14ac:dyDescent="0.3">
      <c r="A25" t="s">
        <v>4</v>
      </c>
      <c r="B25" t="s">
        <v>27</v>
      </c>
      <c r="C25" t="s">
        <v>89</v>
      </c>
      <c r="D25" t="str">
        <f>IF(COUNTIF(Vocab!$A$2:$A$10,A25)=0,"ERROR",IF(COUNTIF(Vocab!$B$2:$B$10,B25)=0,"ERROR",IF(B25="RollbackDetected","S5 FAIL_SAFE",IF(A25="S6 TOOL_QUARANTINE","S6 TOOL_QUARANTINE",IFERROR(IF(C25="true",INDEX(Spec12!$B$2:$B$9,MATCH(A25&amp;"|"&amp;B25,Spec12!$A$2:$A$9,0)),INDEX(Spec12!$C$2:$C$9,MATCH(A25&amp;"|"&amp;B25,Spec12!$A$2:$A$9,0))),"ERROR")))))</f>
        <v>ERROR</v>
      </c>
    </row>
    <row r="26" spans="1:4" x14ac:dyDescent="0.3">
      <c r="A26" t="s">
        <v>4</v>
      </c>
      <c r="B26" t="s">
        <v>29</v>
      </c>
      <c r="C26" t="s">
        <v>85</v>
      </c>
      <c r="D26" t="str">
        <f>IF(COUNTIF(Vocab!$A$2:$A$10,A26)=0,"ERROR",IF(COUNTIF(Vocab!$B$2:$B$10,B26)=0,"ERROR",IF(B26="RollbackDetected","S5 FAIL_SAFE",IF(A26="S6 TOOL_QUARANTINE","S6 TOOL_QUARANTINE",IFERROR(IF(C26="true",INDEX(Spec12!$B$2:$B$9,MATCH(A26&amp;"|"&amp;B26,Spec12!$A$2:$A$9,0)),INDEX(Spec12!$C$2:$C$9,MATCH(A26&amp;"|"&amp;B26,Spec12!$A$2:$A$9,0))),"ERROR")))))</f>
        <v>ERROR</v>
      </c>
    </row>
    <row r="27" spans="1:4" x14ac:dyDescent="0.3">
      <c r="A27" t="s">
        <v>4</v>
      </c>
      <c r="B27" t="s">
        <v>29</v>
      </c>
      <c r="C27" t="s">
        <v>89</v>
      </c>
      <c r="D27" t="str">
        <f>IF(COUNTIF(Vocab!$A$2:$A$10,A27)=0,"ERROR",IF(COUNTIF(Vocab!$B$2:$B$10,B27)=0,"ERROR",IF(B27="RollbackDetected","S5 FAIL_SAFE",IF(A27="S6 TOOL_QUARANTINE","S6 TOOL_QUARANTINE",IFERROR(IF(C27="true",INDEX(Spec12!$B$2:$B$9,MATCH(A27&amp;"|"&amp;B27,Spec12!$A$2:$A$9,0)),INDEX(Spec12!$C$2:$C$9,MATCH(A27&amp;"|"&amp;B27,Spec12!$A$2:$A$9,0))),"ERROR")))))</f>
        <v>ERROR</v>
      </c>
    </row>
    <row r="28" spans="1:4" x14ac:dyDescent="0.3">
      <c r="A28" t="s">
        <v>4</v>
      </c>
      <c r="B28" t="s">
        <v>31</v>
      </c>
      <c r="C28" t="s">
        <v>85</v>
      </c>
      <c r="D28" t="str">
        <f>IF(COUNTIF(Vocab!$A$2:$A$10,A28)=0,"ERROR",IF(COUNTIF(Vocab!$B$2:$B$10,B28)=0,"ERROR",IF(B28="RollbackDetected","S5 FAIL_SAFE",IF(A28="S6 TOOL_QUARANTINE","S6 TOOL_QUARANTINE",IFERROR(IF(C28="true",INDEX(Spec12!$B$2:$B$9,MATCH(A28&amp;"|"&amp;B28,Spec12!$A$2:$A$9,0)),INDEX(Spec12!$C$2:$C$9,MATCH(A28&amp;"|"&amp;B28,Spec12!$A$2:$A$9,0))),"ERROR")))))</f>
        <v>S5 FAIL_SAFE</v>
      </c>
    </row>
    <row r="29" spans="1:4" x14ac:dyDescent="0.3">
      <c r="A29" t="s">
        <v>4</v>
      </c>
      <c r="B29" t="s">
        <v>31</v>
      </c>
      <c r="C29" t="s">
        <v>89</v>
      </c>
      <c r="D29" t="str">
        <f>IF(COUNTIF(Vocab!$A$2:$A$10,A29)=0,"ERROR",IF(COUNTIF(Vocab!$B$2:$B$10,B29)=0,"ERROR",IF(B29="RollbackDetected","S5 FAIL_SAFE",IF(A29="S6 TOOL_QUARANTINE","S6 TOOL_QUARANTINE",IFERROR(IF(C29="true",INDEX(Spec12!$B$2:$B$9,MATCH(A29&amp;"|"&amp;B29,Spec12!$A$2:$A$9,0)),INDEX(Spec12!$C$2:$C$9,MATCH(A29&amp;"|"&amp;B29,Spec12!$A$2:$A$9,0))),"ERROR")))))</f>
        <v>S5 FAIL_SAFE</v>
      </c>
    </row>
    <row r="30" spans="1:4" x14ac:dyDescent="0.3">
      <c r="A30" t="s">
        <v>4</v>
      </c>
      <c r="B30" t="s">
        <v>33</v>
      </c>
      <c r="C30" t="s">
        <v>85</v>
      </c>
      <c r="D30" t="str">
        <f>IF(COUNTIF(Vocab!$A$2:$A$10,A30)=0,"ERROR",IF(COUNTIF(Vocab!$B$2:$B$10,B30)=0,"ERROR",IF(B30="RollbackDetected","S5 FAIL_SAFE",IF(A30="S6 TOOL_QUARANTINE","S6 TOOL_QUARANTINE",IFERROR(IF(C30="true",INDEX(Spec12!$B$2:$B$9,MATCH(A30&amp;"|"&amp;B30,Spec12!$A$2:$A$9,0)),INDEX(Spec12!$C$2:$C$9,MATCH(A30&amp;"|"&amp;B30,Spec12!$A$2:$A$9,0))),"ERROR")))))</f>
        <v>ERROR</v>
      </c>
    </row>
    <row r="31" spans="1:4" x14ac:dyDescent="0.3">
      <c r="A31" t="s">
        <v>4</v>
      </c>
      <c r="B31" t="s">
        <v>33</v>
      </c>
      <c r="C31" t="s">
        <v>89</v>
      </c>
      <c r="D31" t="str">
        <f>IF(COUNTIF(Vocab!$A$2:$A$10,A31)=0,"ERROR",IF(COUNTIF(Vocab!$B$2:$B$10,B31)=0,"ERROR",IF(B31="RollbackDetected","S5 FAIL_SAFE",IF(A31="S6 TOOL_QUARANTINE","S6 TOOL_QUARANTINE",IFERROR(IF(C31="true",INDEX(Spec12!$B$2:$B$9,MATCH(A31&amp;"|"&amp;B31,Spec12!$A$2:$A$9,0)),INDEX(Spec12!$C$2:$C$9,MATCH(A31&amp;"|"&amp;B31,Spec12!$A$2:$A$9,0))),"ERROR")))))</f>
        <v>ERROR</v>
      </c>
    </row>
    <row r="32" spans="1:4" x14ac:dyDescent="0.3">
      <c r="A32" t="s">
        <v>4</v>
      </c>
      <c r="B32" t="s">
        <v>34</v>
      </c>
      <c r="C32" t="s">
        <v>85</v>
      </c>
      <c r="D32" t="str">
        <f>IF(COUNTIF(Vocab!$A$2:$A$10,A32)=0,"ERROR",IF(COUNTIF(Vocab!$B$2:$B$10,B32)=0,"ERROR",IF(B32="RollbackDetected","S5 FAIL_SAFE",IF(A32="S6 TOOL_QUARANTINE","S6 TOOL_QUARANTINE",IFERROR(IF(C32="true",INDEX(Spec12!$B$2:$B$9,MATCH(A32&amp;"|"&amp;B32,Spec12!$A$2:$A$9,0)),INDEX(Spec12!$C$2:$C$9,MATCH(A32&amp;"|"&amp;B32,Spec12!$A$2:$A$9,0))),"ERROR")))))</f>
        <v>ERROR</v>
      </c>
    </row>
    <row r="33" spans="1:4" x14ac:dyDescent="0.3">
      <c r="A33" t="s">
        <v>4</v>
      </c>
      <c r="B33" t="s">
        <v>34</v>
      </c>
      <c r="C33" t="s">
        <v>89</v>
      </c>
      <c r="D33" t="str">
        <f>IF(COUNTIF(Vocab!$A$2:$A$10,A33)=0,"ERROR",IF(COUNTIF(Vocab!$B$2:$B$10,B33)=0,"ERROR",IF(B33="RollbackDetected","S5 FAIL_SAFE",IF(A33="S6 TOOL_QUARANTINE","S6 TOOL_QUARANTINE",IFERROR(IF(C33="true",INDEX(Spec12!$B$2:$B$9,MATCH(A33&amp;"|"&amp;B33,Spec12!$A$2:$A$9,0)),INDEX(Spec12!$C$2:$C$9,MATCH(A33&amp;"|"&amp;B33,Spec12!$A$2:$A$9,0))),"ERROR")))))</f>
        <v>ERROR</v>
      </c>
    </row>
    <row r="34" spans="1:4" x14ac:dyDescent="0.3">
      <c r="A34" t="s">
        <v>4</v>
      </c>
      <c r="B34" t="s">
        <v>35</v>
      </c>
      <c r="C34" t="s">
        <v>85</v>
      </c>
      <c r="D34" t="str">
        <f>IF(COUNTIF(Vocab!$A$2:$A$10,A34)=0,"ERROR",IF(COUNTIF(Vocab!$B$2:$B$10,B34)=0,"ERROR",IF(B34="RollbackDetected","S5 FAIL_SAFE",IF(A34="S6 TOOL_QUARANTINE","S6 TOOL_QUARANTINE",IFERROR(IF(C34="true",INDEX(Spec12!$B$2:$B$9,MATCH(A34&amp;"|"&amp;B34,Spec12!$A$2:$A$9,0)),INDEX(Spec12!$C$2:$C$9,MATCH(A34&amp;"|"&amp;B34,Spec12!$A$2:$A$9,0))),"ERROR")))))</f>
        <v>ERROR</v>
      </c>
    </row>
    <row r="35" spans="1:4" x14ac:dyDescent="0.3">
      <c r="A35" t="s">
        <v>4</v>
      </c>
      <c r="B35" t="s">
        <v>35</v>
      </c>
      <c r="C35" t="s">
        <v>89</v>
      </c>
      <c r="D35" t="str">
        <f>IF(COUNTIF(Vocab!$A$2:$A$10,A35)=0,"ERROR",IF(COUNTIF(Vocab!$B$2:$B$10,B35)=0,"ERROR",IF(B35="RollbackDetected","S5 FAIL_SAFE",IF(A35="S6 TOOL_QUARANTINE","S6 TOOL_QUARANTINE",IFERROR(IF(C35="true",INDEX(Spec12!$B$2:$B$9,MATCH(A35&amp;"|"&amp;B35,Spec12!$A$2:$A$9,0)),INDEX(Spec12!$C$2:$C$9,MATCH(A35&amp;"|"&amp;B35,Spec12!$A$2:$A$9,0))),"ERROR")))))</f>
        <v>ERROR</v>
      </c>
    </row>
    <row r="36" spans="1:4" x14ac:dyDescent="0.3">
      <c r="A36" t="s">
        <v>4</v>
      </c>
      <c r="B36" t="s">
        <v>36</v>
      </c>
      <c r="C36" t="s">
        <v>85</v>
      </c>
      <c r="D36" t="str">
        <f>IF(COUNTIF(Vocab!$A$2:$A$10,A36)=0,"ERROR",IF(COUNTIF(Vocab!$B$2:$B$10,B36)=0,"ERROR",IF(B36="RollbackDetected","S5 FAIL_SAFE",IF(A36="S6 TOOL_QUARANTINE","S6 TOOL_QUARANTINE",IFERROR(IF(C36="true",INDEX(Spec12!$B$2:$B$9,MATCH(A36&amp;"|"&amp;B36,Spec12!$A$2:$A$9,0)),INDEX(Spec12!$C$2:$C$9,MATCH(A36&amp;"|"&amp;B36,Spec12!$A$2:$A$9,0))),"ERROR")))))</f>
        <v>ERROR</v>
      </c>
    </row>
    <row r="37" spans="1:4" x14ac:dyDescent="0.3">
      <c r="A37" t="s">
        <v>4</v>
      </c>
      <c r="B37" t="s">
        <v>36</v>
      </c>
      <c r="C37" t="s">
        <v>89</v>
      </c>
      <c r="D37" t="str">
        <f>IF(COUNTIF(Vocab!$A$2:$A$10,A37)=0,"ERROR",IF(COUNTIF(Vocab!$B$2:$B$10,B37)=0,"ERROR",IF(B37="RollbackDetected","S5 FAIL_SAFE",IF(A37="S6 TOOL_QUARANTINE","S6 TOOL_QUARANTINE",IFERROR(IF(C37="true",INDEX(Spec12!$B$2:$B$9,MATCH(A37&amp;"|"&amp;B37,Spec12!$A$2:$A$9,0)),INDEX(Spec12!$C$2:$C$9,MATCH(A37&amp;"|"&amp;B37,Spec12!$A$2:$A$9,0))),"ERROR")))))</f>
        <v>ERROR</v>
      </c>
    </row>
    <row r="38" spans="1:4" x14ac:dyDescent="0.3">
      <c r="A38" t="s">
        <v>7</v>
      </c>
      <c r="B38" t="s">
        <v>23</v>
      </c>
      <c r="C38" t="s">
        <v>85</v>
      </c>
      <c r="D38" t="str">
        <f>IF(COUNTIF(Vocab!$A$2:$A$10,A38)=0,"ERROR",IF(COUNTIF(Vocab!$B$2:$B$10,B38)=0,"ERROR",IF(B38="RollbackDetected","S5 FAIL_SAFE",IF(A38="S6 TOOL_QUARANTINE","S6 TOOL_QUARANTINE",IFERROR(IF(C38="true",INDEX(Spec12!$B$2:$B$9,MATCH(A38&amp;"|"&amp;B38,Spec12!$A$2:$A$9,0)),INDEX(Spec12!$C$2:$C$9,MATCH(A38&amp;"|"&amp;B38,Spec12!$A$2:$A$9,0))),"ERROR")))))</f>
        <v>ERROR</v>
      </c>
    </row>
    <row r="39" spans="1:4" x14ac:dyDescent="0.3">
      <c r="A39" t="s">
        <v>7</v>
      </c>
      <c r="B39" t="s">
        <v>23</v>
      </c>
      <c r="C39" t="s">
        <v>89</v>
      </c>
      <c r="D39" t="str">
        <f>IF(COUNTIF(Vocab!$A$2:$A$10,A39)=0,"ERROR",IF(COUNTIF(Vocab!$B$2:$B$10,B39)=0,"ERROR",IF(B39="RollbackDetected","S5 FAIL_SAFE",IF(A39="S6 TOOL_QUARANTINE","S6 TOOL_QUARANTINE",IFERROR(IF(C39="true",INDEX(Spec12!$B$2:$B$9,MATCH(A39&amp;"|"&amp;B39,Spec12!$A$2:$A$9,0)),INDEX(Spec12!$C$2:$C$9,MATCH(A39&amp;"|"&amp;B39,Spec12!$A$2:$A$9,0))),"ERROR")))))</f>
        <v>ERROR</v>
      </c>
    </row>
    <row r="40" spans="1:4" x14ac:dyDescent="0.3">
      <c r="A40" t="s">
        <v>7</v>
      </c>
      <c r="B40" t="s">
        <v>25</v>
      </c>
      <c r="C40" t="s">
        <v>85</v>
      </c>
      <c r="D40" t="str">
        <f>IF(COUNTIF(Vocab!$A$2:$A$10,A40)=0,"ERROR",IF(COUNTIF(Vocab!$B$2:$B$10,B40)=0,"ERROR",IF(B40="RollbackDetected","S5 FAIL_SAFE",IF(A40="S6 TOOL_QUARANTINE","S6 TOOL_QUARANTINE",IFERROR(IF(C40="true",INDEX(Spec12!$B$2:$B$9,MATCH(A40&amp;"|"&amp;B40,Spec12!$A$2:$A$9,0)),INDEX(Spec12!$C$2:$C$9,MATCH(A40&amp;"|"&amp;B40,Spec12!$A$2:$A$9,0))),"ERROR")))))</f>
        <v>ERROR</v>
      </c>
    </row>
    <row r="41" spans="1:4" x14ac:dyDescent="0.3">
      <c r="A41" t="s">
        <v>7</v>
      </c>
      <c r="B41" t="s">
        <v>25</v>
      </c>
      <c r="C41" t="s">
        <v>89</v>
      </c>
      <c r="D41" t="str">
        <f>IF(COUNTIF(Vocab!$A$2:$A$10,A41)=0,"ERROR",IF(COUNTIF(Vocab!$B$2:$B$10,B41)=0,"ERROR",IF(B41="RollbackDetected","S5 FAIL_SAFE",IF(A41="S6 TOOL_QUARANTINE","S6 TOOL_QUARANTINE",IFERROR(IF(C41="true",INDEX(Spec12!$B$2:$B$9,MATCH(A41&amp;"|"&amp;B41,Spec12!$A$2:$A$9,0)),INDEX(Spec12!$C$2:$C$9,MATCH(A41&amp;"|"&amp;B41,Spec12!$A$2:$A$9,0))),"ERROR")))))</f>
        <v>ERROR</v>
      </c>
    </row>
    <row r="42" spans="1:4" x14ac:dyDescent="0.3">
      <c r="A42" t="s">
        <v>7</v>
      </c>
      <c r="B42" t="s">
        <v>27</v>
      </c>
      <c r="C42" t="s">
        <v>85</v>
      </c>
      <c r="D42" t="str">
        <f>IF(COUNTIF(Vocab!$A$2:$A$10,A42)=0,"ERROR",IF(COUNTIF(Vocab!$B$2:$B$10,B42)=0,"ERROR",IF(B42="RollbackDetected","S5 FAIL_SAFE",IF(A42="S6 TOOL_QUARANTINE","S6 TOOL_QUARANTINE",IFERROR(IF(C42="true",INDEX(Spec12!$B$2:$B$9,MATCH(A42&amp;"|"&amp;B42,Spec12!$A$2:$A$9,0)),INDEX(Spec12!$C$2:$C$9,MATCH(A42&amp;"|"&amp;B42,Spec12!$A$2:$A$9,0))),"ERROR")))))</f>
        <v>S3 ELIGIBLE_HEAD_SELECTED</v>
      </c>
    </row>
    <row r="43" spans="1:4" x14ac:dyDescent="0.3">
      <c r="A43" t="s">
        <v>7</v>
      </c>
      <c r="B43" t="s">
        <v>27</v>
      </c>
      <c r="C43" t="s">
        <v>89</v>
      </c>
      <c r="D43" t="str">
        <f>IF(COUNTIF(Vocab!$A$2:$A$10,A43)=0,"ERROR",IF(COUNTIF(Vocab!$B$2:$B$10,B43)=0,"ERROR",IF(B43="RollbackDetected","S5 FAIL_SAFE",IF(A43="S6 TOOL_QUARANTINE","S6 TOOL_QUARANTINE",IFERROR(IF(C43="true",INDEX(Spec12!$B$2:$B$9,MATCH(A43&amp;"|"&amp;B43,Spec12!$A$2:$A$9,0)),INDEX(Spec12!$C$2:$C$9,MATCH(A43&amp;"|"&amp;B43,Spec12!$A$2:$A$9,0))),"ERROR")))))</f>
        <v>S5 FAIL_SAFE</v>
      </c>
    </row>
    <row r="44" spans="1:4" x14ac:dyDescent="0.3">
      <c r="A44" t="s">
        <v>7</v>
      </c>
      <c r="B44" t="s">
        <v>29</v>
      </c>
      <c r="C44" t="s">
        <v>85</v>
      </c>
      <c r="D44" t="str">
        <f>IF(COUNTIF(Vocab!$A$2:$A$10,A44)=0,"ERROR",IF(COUNTIF(Vocab!$B$2:$B$10,B44)=0,"ERROR",IF(B44="RollbackDetected","S5 FAIL_SAFE",IF(A44="S6 TOOL_QUARANTINE","S6 TOOL_QUARANTINE",IFERROR(IF(C44="true",INDEX(Spec12!$B$2:$B$9,MATCH(A44&amp;"|"&amp;B44,Spec12!$A$2:$A$9,0)),INDEX(Spec12!$C$2:$C$9,MATCH(A44&amp;"|"&amp;B44,Spec12!$A$2:$A$9,0))),"ERROR")))))</f>
        <v>ERROR</v>
      </c>
    </row>
    <row r="45" spans="1:4" x14ac:dyDescent="0.3">
      <c r="A45" t="s">
        <v>7</v>
      </c>
      <c r="B45" t="s">
        <v>29</v>
      </c>
      <c r="C45" t="s">
        <v>89</v>
      </c>
      <c r="D45" t="str">
        <f>IF(COUNTIF(Vocab!$A$2:$A$10,A45)=0,"ERROR",IF(COUNTIF(Vocab!$B$2:$B$10,B45)=0,"ERROR",IF(B45="RollbackDetected","S5 FAIL_SAFE",IF(A45="S6 TOOL_QUARANTINE","S6 TOOL_QUARANTINE",IFERROR(IF(C45="true",INDEX(Spec12!$B$2:$B$9,MATCH(A45&amp;"|"&amp;B45,Spec12!$A$2:$A$9,0)),INDEX(Spec12!$C$2:$C$9,MATCH(A45&amp;"|"&amp;B45,Spec12!$A$2:$A$9,0))),"ERROR")))))</f>
        <v>ERROR</v>
      </c>
    </row>
    <row r="46" spans="1:4" x14ac:dyDescent="0.3">
      <c r="A46" t="s">
        <v>7</v>
      </c>
      <c r="B46" t="s">
        <v>31</v>
      </c>
      <c r="C46" t="s">
        <v>85</v>
      </c>
      <c r="D46" t="str">
        <f>IF(COUNTIF(Vocab!$A$2:$A$10,A46)=0,"ERROR",IF(COUNTIF(Vocab!$B$2:$B$10,B46)=0,"ERROR",IF(B46="RollbackDetected","S5 FAIL_SAFE",IF(A46="S6 TOOL_QUARANTINE","S6 TOOL_QUARANTINE",IFERROR(IF(C46="true",INDEX(Spec12!$B$2:$B$9,MATCH(A46&amp;"|"&amp;B46,Spec12!$A$2:$A$9,0)),INDEX(Spec12!$C$2:$C$9,MATCH(A46&amp;"|"&amp;B46,Spec12!$A$2:$A$9,0))),"ERROR")))))</f>
        <v>S5 FAIL_SAFE</v>
      </c>
    </row>
    <row r="47" spans="1:4" x14ac:dyDescent="0.3">
      <c r="A47" t="s">
        <v>7</v>
      </c>
      <c r="B47" t="s">
        <v>31</v>
      </c>
      <c r="C47" t="s">
        <v>89</v>
      </c>
      <c r="D47" t="str">
        <f>IF(COUNTIF(Vocab!$A$2:$A$10,A47)=0,"ERROR",IF(COUNTIF(Vocab!$B$2:$B$10,B47)=0,"ERROR",IF(B47="RollbackDetected","S5 FAIL_SAFE",IF(A47="S6 TOOL_QUARANTINE","S6 TOOL_QUARANTINE",IFERROR(IF(C47="true",INDEX(Spec12!$B$2:$B$9,MATCH(A47&amp;"|"&amp;B47,Spec12!$A$2:$A$9,0)),INDEX(Spec12!$C$2:$C$9,MATCH(A47&amp;"|"&amp;B47,Spec12!$A$2:$A$9,0))),"ERROR")))))</f>
        <v>S5 FAIL_SAFE</v>
      </c>
    </row>
    <row r="48" spans="1:4" x14ac:dyDescent="0.3">
      <c r="A48" t="s">
        <v>7</v>
      </c>
      <c r="B48" t="s">
        <v>33</v>
      </c>
      <c r="C48" t="s">
        <v>85</v>
      </c>
      <c r="D48" t="str">
        <f>IF(COUNTIF(Vocab!$A$2:$A$10,A48)=0,"ERROR",IF(COUNTIF(Vocab!$B$2:$B$10,B48)=0,"ERROR",IF(B48="RollbackDetected","S5 FAIL_SAFE",IF(A48="S6 TOOL_QUARANTINE","S6 TOOL_QUARANTINE",IFERROR(IF(C48="true",INDEX(Spec12!$B$2:$B$9,MATCH(A48&amp;"|"&amp;B48,Spec12!$A$2:$A$9,0)),INDEX(Spec12!$C$2:$C$9,MATCH(A48&amp;"|"&amp;B48,Spec12!$A$2:$A$9,0))),"ERROR")))))</f>
        <v>ERROR</v>
      </c>
    </row>
    <row r="49" spans="1:4" x14ac:dyDescent="0.3">
      <c r="A49" t="s">
        <v>7</v>
      </c>
      <c r="B49" t="s">
        <v>33</v>
      </c>
      <c r="C49" t="s">
        <v>89</v>
      </c>
      <c r="D49" t="str">
        <f>IF(COUNTIF(Vocab!$A$2:$A$10,A49)=0,"ERROR",IF(COUNTIF(Vocab!$B$2:$B$10,B49)=0,"ERROR",IF(B49="RollbackDetected","S5 FAIL_SAFE",IF(A49="S6 TOOL_QUARANTINE","S6 TOOL_QUARANTINE",IFERROR(IF(C49="true",INDEX(Spec12!$B$2:$B$9,MATCH(A49&amp;"|"&amp;B49,Spec12!$A$2:$A$9,0)),INDEX(Spec12!$C$2:$C$9,MATCH(A49&amp;"|"&amp;B49,Spec12!$A$2:$A$9,0))),"ERROR")))))</f>
        <v>ERROR</v>
      </c>
    </row>
    <row r="50" spans="1:4" x14ac:dyDescent="0.3">
      <c r="A50" t="s">
        <v>7</v>
      </c>
      <c r="B50" t="s">
        <v>34</v>
      </c>
      <c r="C50" t="s">
        <v>85</v>
      </c>
      <c r="D50" t="str">
        <f>IF(COUNTIF(Vocab!$A$2:$A$10,A50)=0,"ERROR",IF(COUNTIF(Vocab!$B$2:$B$10,B50)=0,"ERROR",IF(B50="RollbackDetected","S5 FAIL_SAFE",IF(A50="S6 TOOL_QUARANTINE","S6 TOOL_QUARANTINE",IFERROR(IF(C50="true",INDEX(Spec12!$B$2:$B$9,MATCH(A50&amp;"|"&amp;B50,Spec12!$A$2:$A$9,0)),INDEX(Spec12!$C$2:$C$9,MATCH(A50&amp;"|"&amp;B50,Spec12!$A$2:$A$9,0))),"ERROR")))))</f>
        <v>ERROR</v>
      </c>
    </row>
    <row r="51" spans="1:4" x14ac:dyDescent="0.3">
      <c r="A51" t="s">
        <v>7</v>
      </c>
      <c r="B51" t="s">
        <v>34</v>
      </c>
      <c r="C51" t="s">
        <v>89</v>
      </c>
      <c r="D51" t="str">
        <f>IF(COUNTIF(Vocab!$A$2:$A$10,A51)=0,"ERROR",IF(COUNTIF(Vocab!$B$2:$B$10,B51)=0,"ERROR",IF(B51="RollbackDetected","S5 FAIL_SAFE",IF(A51="S6 TOOL_QUARANTINE","S6 TOOL_QUARANTINE",IFERROR(IF(C51="true",INDEX(Spec12!$B$2:$B$9,MATCH(A51&amp;"|"&amp;B51,Spec12!$A$2:$A$9,0)),INDEX(Spec12!$C$2:$C$9,MATCH(A51&amp;"|"&amp;B51,Spec12!$A$2:$A$9,0))),"ERROR")))))</f>
        <v>ERROR</v>
      </c>
    </row>
    <row r="52" spans="1:4" x14ac:dyDescent="0.3">
      <c r="A52" t="s">
        <v>7</v>
      </c>
      <c r="B52" t="s">
        <v>35</v>
      </c>
      <c r="C52" t="s">
        <v>85</v>
      </c>
      <c r="D52" t="str">
        <f>IF(COUNTIF(Vocab!$A$2:$A$10,A52)=0,"ERROR",IF(COUNTIF(Vocab!$B$2:$B$10,B52)=0,"ERROR",IF(B52="RollbackDetected","S5 FAIL_SAFE",IF(A52="S6 TOOL_QUARANTINE","S6 TOOL_QUARANTINE",IFERROR(IF(C52="true",INDEX(Spec12!$B$2:$B$9,MATCH(A52&amp;"|"&amp;B52,Spec12!$A$2:$A$9,0)),INDEX(Spec12!$C$2:$C$9,MATCH(A52&amp;"|"&amp;B52,Spec12!$A$2:$A$9,0))),"ERROR")))))</f>
        <v>ERROR</v>
      </c>
    </row>
    <row r="53" spans="1:4" x14ac:dyDescent="0.3">
      <c r="A53" t="s">
        <v>7</v>
      </c>
      <c r="B53" t="s">
        <v>35</v>
      </c>
      <c r="C53" t="s">
        <v>89</v>
      </c>
      <c r="D53" t="str">
        <f>IF(COUNTIF(Vocab!$A$2:$A$10,A53)=0,"ERROR",IF(COUNTIF(Vocab!$B$2:$B$10,B53)=0,"ERROR",IF(B53="RollbackDetected","S5 FAIL_SAFE",IF(A53="S6 TOOL_QUARANTINE","S6 TOOL_QUARANTINE",IFERROR(IF(C53="true",INDEX(Spec12!$B$2:$B$9,MATCH(A53&amp;"|"&amp;B53,Spec12!$A$2:$A$9,0)),INDEX(Spec12!$C$2:$C$9,MATCH(A53&amp;"|"&amp;B53,Spec12!$A$2:$A$9,0))),"ERROR")))))</f>
        <v>ERROR</v>
      </c>
    </row>
    <row r="54" spans="1:4" x14ac:dyDescent="0.3">
      <c r="A54" t="s">
        <v>7</v>
      </c>
      <c r="B54" t="s">
        <v>36</v>
      </c>
      <c r="C54" t="s">
        <v>85</v>
      </c>
      <c r="D54" t="str">
        <f>IF(COUNTIF(Vocab!$A$2:$A$10,A54)=0,"ERROR",IF(COUNTIF(Vocab!$B$2:$B$10,B54)=0,"ERROR",IF(B54="RollbackDetected","S5 FAIL_SAFE",IF(A54="S6 TOOL_QUARANTINE","S6 TOOL_QUARANTINE",IFERROR(IF(C54="true",INDEX(Spec12!$B$2:$B$9,MATCH(A54&amp;"|"&amp;B54,Spec12!$A$2:$A$9,0)),INDEX(Spec12!$C$2:$C$9,MATCH(A54&amp;"|"&amp;B54,Spec12!$A$2:$A$9,0))),"ERROR")))))</f>
        <v>ERROR</v>
      </c>
    </row>
    <row r="55" spans="1:4" x14ac:dyDescent="0.3">
      <c r="A55" t="s">
        <v>7</v>
      </c>
      <c r="B55" t="s">
        <v>36</v>
      </c>
      <c r="C55" t="s">
        <v>89</v>
      </c>
      <c r="D55" t="str">
        <f>IF(COUNTIF(Vocab!$A$2:$A$10,A55)=0,"ERROR",IF(COUNTIF(Vocab!$B$2:$B$10,B55)=0,"ERROR",IF(B55="RollbackDetected","S5 FAIL_SAFE",IF(A55="S6 TOOL_QUARANTINE","S6 TOOL_QUARANTINE",IFERROR(IF(C55="true",INDEX(Spec12!$B$2:$B$9,MATCH(A55&amp;"|"&amp;B55,Spec12!$A$2:$A$9,0)),INDEX(Spec12!$C$2:$C$9,MATCH(A55&amp;"|"&amp;B55,Spec12!$A$2:$A$9,0))),"ERROR")))))</f>
        <v>ERROR</v>
      </c>
    </row>
    <row r="56" spans="1:4" x14ac:dyDescent="0.3">
      <c r="A56" t="s">
        <v>9</v>
      </c>
      <c r="B56" t="s">
        <v>23</v>
      </c>
      <c r="C56" t="s">
        <v>85</v>
      </c>
      <c r="D56" t="str">
        <f>IF(COUNTIF(Vocab!$A$2:$A$10,A56)=0,"ERROR",IF(COUNTIF(Vocab!$B$2:$B$10,B56)=0,"ERROR",IF(B56="RollbackDetected","S5 FAIL_SAFE",IF(A56="S6 TOOL_QUARANTINE","S6 TOOL_QUARANTINE",IFERROR(IF(C56="true",INDEX(Spec12!$B$2:$B$9,MATCH(A56&amp;"|"&amp;B56,Spec12!$A$2:$A$9,0)),INDEX(Spec12!$C$2:$C$9,MATCH(A56&amp;"|"&amp;B56,Spec12!$A$2:$A$9,0))),"ERROR")))))</f>
        <v>ERROR</v>
      </c>
    </row>
    <row r="57" spans="1:4" x14ac:dyDescent="0.3">
      <c r="A57" t="s">
        <v>9</v>
      </c>
      <c r="B57" t="s">
        <v>23</v>
      </c>
      <c r="C57" t="s">
        <v>89</v>
      </c>
      <c r="D57" t="str">
        <f>IF(COUNTIF(Vocab!$A$2:$A$10,A57)=0,"ERROR",IF(COUNTIF(Vocab!$B$2:$B$10,B57)=0,"ERROR",IF(B57="RollbackDetected","S5 FAIL_SAFE",IF(A57="S6 TOOL_QUARANTINE","S6 TOOL_QUARANTINE",IFERROR(IF(C57="true",INDEX(Spec12!$B$2:$B$9,MATCH(A57&amp;"|"&amp;B57,Spec12!$A$2:$A$9,0)),INDEX(Spec12!$C$2:$C$9,MATCH(A57&amp;"|"&amp;B57,Spec12!$A$2:$A$9,0))),"ERROR")))))</f>
        <v>ERROR</v>
      </c>
    </row>
    <row r="58" spans="1:4" x14ac:dyDescent="0.3">
      <c r="A58" t="s">
        <v>9</v>
      </c>
      <c r="B58" t="s">
        <v>25</v>
      </c>
      <c r="C58" t="s">
        <v>85</v>
      </c>
      <c r="D58" t="str">
        <f>IF(COUNTIF(Vocab!$A$2:$A$10,A58)=0,"ERROR",IF(COUNTIF(Vocab!$B$2:$B$10,B58)=0,"ERROR",IF(B58="RollbackDetected","S5 FAIL_SAFE",IF(A58="S6 TOOL_QUARANTINE","S6 TOOL_QUARANTINE",IFERROR(IF(C58="true",INDEX(Spec12!$B$2:$B$9,MATCH(A58&amp;"|"&amp;B58,Spec12!$A$2:$A$9,0)),INDEX(Spec12!$C$2:$C$9,MATCH(A58&amp;"|"&amp;B58,Spec12!$A$2:$A$9,0))),"ERROR")))))</f>
        <v>ERROR</v>
      </c>
    </row>
    <row r="59" spans="1:4" x14ac:dyDescent="0.3">
      <c r="A59" t="s">
        <v>9</v>
      </c>
      <c r="B59" t="s">
        <v>25</v>
      </c>
      <c r="C59" t="s">
        <v>89</v>
      </c>
      <c r="D59" t="str">
        <f>IF(COUNTIF(Vocab!$A$2:$A$10,A59)=0,"ERROR",IF(COUNTIF(Vocab!$B$2:$B$10,B59)=0,"ERROR",IF(B59="RollbackDetected","S5 FAIL_SAFE",IF(A59="S6 TOOL_QUARANTINE","S6 TOOL_QUARANTINE",IFERROR(IF(C59="true",INDEX(Spec12!$B$2:$B$9,MATCH(A59&amp;"|"&amp;B59,Spec12!$A$2:$A$9,0)),INDEX(Spec12!$C$2:$C$9,MATCH(A59&amp;"|"&amp;B59,Spec12!$A$2:$A$9,0))),"ERROR")))))</f>
        <v>ERROR</v>
      </c>
    </row>
    <row r="60" spans="1:4" x14ac:dyDescent="0.3">
      <c r="A60" t="s">
        <v>9</v>
      </c>
      <c r="B60" t="s">
        <v>27</v>
      </c>
      <c r="C60" t="s">
        <v>85</v>
      </c>
      <c r="D60" t="str">
        <f>IF(COUNTIF(Vocab!$A$2:$A$10,A60)=0,"ERROR",IF(COUNTIF(Vocab!$B$2:$B$10,B60)=0,"ERROR",IF(B60="RollbackDetected","S5 FAIL_SAFE",IF(A60="S6 TOOL_QUARANTINE","S6 TOOL_QUARANTINE",IFERROR(IF(C60="true",INDEX(Spec12!$B$2:$B$9,MATCH(A60&amp;"|"&amp;B60,Spec12!$A$2:$A$9,0)),INDEX(Spec12!$C$2:$C$9,MATCH(A60&amp;"|"&amp;B60,Spec12!$A$2:$A$9,0))),"ERROR")))))</f>
        <v>ERROR</v>
      </c>
    </row>
    <row r="61" spans="1:4" x14ac:dyDescent="0.3">
      <c r="A61" t="s">
        <v>9</v>
      </c>
      <c r="B61" t="s">
        <v>27</v>
      </c>
      <c r="C61" t="s">
        <v>89</v>
      </c>
      <c r="D61" t="str">
        <f>IF(COUNTIF(Vocab!$A$2:$A$10,A61)=0,"ERROR",IF(COUNTIF(Vocab!$B$2:$B$10,B61)=0,"ERROR",IF(B61="RollbackDetected","S5 FAIL_SAFE",IF(A61="S6 TOOL_QUARANTINE","S6 TOOL_QUARANTINE",IFERROR(IF(C61="true",INDEX(Spec12!$B$2:$B$9,MATCH(A61&amp;"|"&amp;B61,Spec12!$A$2:$A$9,0)),INDEX(Spec12!$C$2:$C$9,MATCH(A61&amp;"|"&amp;B61,Spec12!$A$2:$A$9,0))),"ERROR")))))</f>
        <v>ERROR</v>
      </c>
    </row>
    <row r="62" spans="1:4" x14ac:dyDescent="0.3">
      <c r="A62" t="s">
        <v>9</v>
      </c>
      <c r="B62" t="s">
        <v>29</v>
      </c>
      <c r="C62" t="s">
        <v>85</v>
      </c>
      <c r="D62" t="str">
        <f>IF(COUNTIF(Vocab!$A$2:$A$10,A62)=0,"ERROR",IF(COUNTIF(Vocab!$B$2:$B$10,B62)=0,"ERROR",IF(B62="RollbackDetected","S5 FAIL_SAFE",IF(A62="S6 TOOL_QUARANTINE","S6 TOOL_QUARANTINE",IFERROR(IF(C62="true",INDEX(Spec12!$B$2:$B$9,MATCH(A62&amp;"|"&amp;B62,Spec12!$A$2:$A$9,0)),INDEX(Spec12!$C$2:$C$9,MATCH(A62&amp;"|"&amp;B62,Spec12!$A$2:$A$9,0))),"ERROR")))))</f>
        <v>S4 REHYDRATED_VALIDATED</v>
      </c>
    </row>
    <row r="63" spans="1:4" x14ac:dyDescent="0.3">
      <c r="A63" t="s">
        <v>9</v>
      </c>
      <c r="B63" t="s">
        <v>29</v>
      </c>
      <c r="C63" t="s">
        <v>89</v>
      </c>
      <c r="D63" t="str">
        <f>IF(COUNTIF(Vocab!$A$2:$A$10,A63)=0,"ERROR",IF(COUNTIF(Vocab!$B$2:$B$10,B63)=0,"ERROR",IF(B63="RollbackDetected","S5 FAIL_SAFE",IF(A63="S6 TOOL_QUARANTINE","S6 TOOL_QUARANTINE",IFERROR(IF(C63="true",INDEX(Spec12!$B$2:$B$9,MATCH(A63&amp;"|"&amp;B63,Spec12!$A$2:$A$9,0)),INDEX(Spec12!$C$2:$C$9,MATCH(A63&amp;"|"&amp;B63,Spec12!$A$2:$A$9,0))),"ERROR")))))</f>
        <v>S5 FAIL_SAFE</v>
      </c>
    </row>
    <row r="64" spans="1:4" x14ac:dyDescent="0.3">
      <c r="A64" t="s">
        <v>9</v>
      </c>
      <c r="B64" t="s">
        <v>31</v>
      </c>
      <c r="C64" t="s">
        <v>85</v>
      </c>
      <c r="D64" t="str">
        <f>IF(COUNTIF(Vocab!$A$2:$A$10,A64)=0,"ERROR",IF(COUNTIF(Vocab!$B$2:$B$10,B64)=0,"ERROR",IF(B64="RollbackDetected","S5 FAIL_SAFE",IF(A64="S6 TOOL_QUARANTINE","S6 TOOL_QUARANTINE",IFERROR(IF(C64="true",INDEX(Spec12!$B$2:$B$9,MATCH(A64&amp;"|"&amp;B64,Spec12!$A$2:$A$9,0)),INDEX(Spec12!$C$2:$C$9,MATCH(A64&amp;"|"&amp;B64,Spec12!$A$2:$A$9,0))),"ERROR")))))</f>
        <v>S5 FAIL_SAFE</v>
      </c>
    </row>
    <row r="65" spans="1:4" x14ac:dyDescent="0.3">
      <c r="A65" t="s">
        <v>9</v>
      </c>
      <c r="B65" t="s">
        <v>31</v>
      </c>
      <c r="C65" t="s">
        <v>89</v>
      </c>
      <c r="D65" t="str">
        <f>IF(COUNTIF(Vocab!$A$2:$A$10,A65)=0,"ERROR",IF(COUNTIF(Vocab!$B$2:$B$10,B65)=0,"ERROR",IF(B65="RollbackDetected","S5 FAIL_SAFE",IF(A65="S6 TOOL_QUARANTINE","S6 TOOL_QUARANTINE",IFERROR(IF(C65="true",INDEX(Spec12!$B$2:$B$9,MATCH(A65&amp;"|"&amp;B65,Spec12!$A$2:$A$9,0)),INDEX(Spec12!$C$2:$C$9,MATCH(A65&amp;"|"&amp;B65,Spec12!$A$2:$A$9,0))),"ERROR")))))</f>
        <v>S5 FAIL_SAFE</v>
      </c>
    </row>
    <row r="66" spans="1:4" x14ac:dyDescent="0.3">
      <c r="A66" t="s">
        <v>9</v>
      </c>
      <c r="B66" t="s">
        <v>33</v>
      </c>
      <c r="C66" t="s">
        <v>85</v>
      </c>
      <c r="D66" t="str">
        <f>IF(COUNTIF(Vocab!$A$2:$A$10,A66)=0,"ERROR",IF(COUNTIF(Vocab!$B$2:$B$10,B66)=0,"ERROR",IF(B66="RollbackDetected","S5 FAIL_SAFE",IF(A66="S6 TOOL_QUARANTINE","S6 TOOL_QUARANTINE",IFERROR(IF(C66="true",INDEX(Spec12!$B$2:$B$9,MATCH(A66&amp;"|"&amp;B66,Spec12!$A$2:$A$9,0)),INDEX(Spec12!$C$2:$C$9,MATCH(A66&amp;"|"&amp;B66,Spec12!$A$2:$A$9,0))),"ERROR")))))</f>
        <v>S6 TOOL_QUARANTINE</v>
      </c>
    </row>
    <row r="67" spans="1:4" x14ac:dyDescent="0.3">
      <c r="A67" t="s">
        <v>9</v>
      </c>
      <c r="B67" t="s">
        <v>33</v>
      </c>
      <c r="C67" t="s">
        <v>89</v>
      </c>
      <c r="D67" t="str">
        <f>IF(COUNTIF(Vocab!$A$2:$A$10,A67)=0,"ERROR",IF(COUNTIF(Vocab!$B$2:$B$10,B67)=0,"ERROR",IF(B67="RollbackDetected","S5 FAIL_SAFE",IF(A67="S6 TOOL_QUARANTINE","S6 TOOL_QUARANTINE",IFERROR(IF(C67="true",INDEX(Spec12!$B$2:$B$9,MATCH(A67&amp;"|"&amp;B67,Spec12!$A$2:$A$9,0)),INDEX(Spec12!$C$2:$C$9,MATCH(A67&amp;"|"&amp;B67,Spec12!$A$2:$A$9,0))),"ERROR")))))</f>
        <v>S6 TOOL_QUARANTINE</v>
      </c>
    </row>
    <row r="68" spans="1:4" x14ac:dyDescent="0.3">
      <c r="A68" t="s">
        <v>9</v>
      </c>
      <c r="B68" t="s">
        <v>34</v>
      </c>
      <c r="C68" t="s">
        <v>85</v>
      </c>
      <c r="D68" t="str">
        <f>IF(COUNTIF(Vocab!$A$2:$A$10,A68)=0,"ERROR",IF(COUNTIF(Vocab!$B$2:$B$10,B68)=0,"ERROR",IF(B68="RollbackDetected","S5 FAIL_SAFE",IF(A68="S6 TOOL_QUARANTINE","S6 TOOL_QUARANTINE",IFERROR(IF(C68="true",INDEX(Spec12!$B$2:$B$9,MATCH(A68&amp;"|"&amp;B68,Spec12!$A$2:$A$9,0)),INDEX(Spec12!$C$2:$C$9,MATCH(A68&amp;"|"&amp;B68,Spec12!$A$2:$A$9,0))),"ERROR")))))</f>
        <v>ERROR</v>
      </c>
    </row>
    <row r="69" spans="1:4" x14ac:dyDescent="0.3">
      <c r="A69" t="s">
        <v>9</v>
      </c>
      <c r="B69" t="s">
        <v>34</v>
      </c>
      <c r="C69" t="s">
        <v>89</v>
      </c>
      <c r="D69" t="str">
        <f>IF(COUNTIF(Vocab!$A$2:$A$10,A69)=0,"ERROR",IF(COUNTIF(Vocab!$B$2:$B$10,B69)=0,"ERROR",IF(B69="RollbackDetected","S5 FAIL_SAFE",IF(A69="S6 TOOL_QUARANTINE","S6 TOOL_QUARANTINE",IFERROR(IF(C69="true",INDEX(Spec12!$B$2:$B$9,MATCH(A69&amp;"|"&amp;B69,Spec12!$A$2:$A$9,0)),INDEX(Spec12!$C$2:$C$9,MATCH(A69&amp;"|"&amp;B69,Spec12!$A$2:$A$9,0))),"ERROR")))))</f>
        <v>ERROR</v>
      </c>
    </row>
    <row r="70" spans="1:4" x14ac:dyDescent="0.3">
      <c r="A70" t="s">
        <v>9</v>
      </c>
      <c r="B70" t="s">
        <v>35</v>
      </c>
      <c r="C70" t="s">
        <v>85</v>
      </c>
      <c r="D70" t="str">
        <f>IF(COUNTIF(Vocab!$A$2:$A$10,A70)=0,"ERROR",IF(COUNTIF(Vocab!$B$2:$B$10,B70)=0,"ERROR",IF(B70="RollbackDetected","S5 FAIL_SAFE",IF(A70="S6 TOOL_QUARANTINE","S6 TOOL_QUARANTINE",IFERROR(IF(C70="true",INDEX(Spec12!$B$2:$B$9,MATCH(A70&amp;"|"&amp;B70,Spec12!$A$2:$A$9,0)),INDEX(Spec12!$C$2:$C$9,MATCH(A70&amp;"|"&amp;B70,Spec12!$A$2:$A$9,0))),"ERROR")))))</f>
        <v>ERROR</v>
      </c>
    </row>
    <row r="71" spans="1:4" x14ac:dyDescent="0.3">
      <c r="A71" t="s">
        <v>9</v>
      </c>
      <c r="B71" t="s">
        <v>35</v>
      </c>
      <c r="C71" t="s">
        <v>89</v>
      </c>
      <c r="D71" t="str">
        <f>IF(COUNTIF(Vocab!$A$2:$A$10,A71)=0,"ERROR",IF(COUNTIF(Vocab!$B$2:$B$10,B71)=0,"ERROR",IF(B71="RollbackDetected","S5 FAIL_SAFE",IF(A71="S6 TOOL_QUARANTINE","S6 TOOL_QUARANTINE",IFERROR(IF(C71="true",INDEX(Spec12!$B$2:$B$9,MATCH(A71&amp;"|"&amp;B71,Spec12!$A$2:$A$9,0)),INDEX(Spec12!$C$2:$C$9,MATCH(A71&amp;"|"&amp;B71,Spec12!$A$2:$A$9,0))),"ERROR")))))</f>
        <v>ERROR</v>
      </c>
    </row>
    <row r="72" spans="1:4" x14ac:dyDescent="0.3">
      <c r="A72" t="s">
        <v>9</v>
      </c>
      <c r="B72" t="s">
        <v>36</v>
      </c>
      <c r="C72" t="s">
        <v>85</v>
      </c>
      <c r="D72" t="str">
        <f>IF(COUNTIF(Vocab!$A$2:$A$10,A72)=0,"ERROR",IF(COUNTIF(Vocab!$B$2:$B$10,B72)=0,"ERROR",IF(B72="RollbackDetected","S5 FAIL_SAFE",IF(A72="S6 TOOL_QUARANTINE","S6 TOOL_QUARANTINE",IFERROR(IF(C72="true",INDEX(Spec12!$B$2:$B$9,MATCH(A72&amp;"|"&amp;B72,Spec12!$A$2:$A$9,0)),INDEX(Spec12!$C$2:$C$9,MATCH(A72&amp;"|"&amp;B72,Spec12!$A$2:$A$9,0))),"ERROR")))))</f>
        <v>ERROR</v>
      </c>
    </row>
    <row r="73" spans="1:4" x14ac:dyDescent="0.3">
      <c r="A73" t="s">
        <v>9</v>
      </c>
      <c r="B73" t="s">
        <v>36</v>
      </c>
      <c r="C73" t="s">
        <v>89</v>
      </c>
      <c r="D73" t="str">
        <f>IF(COUNTIF(Vocab!$A$2:$A$10,A73)=0,"ERROR",IF(COUNTIF(Vocab!$B$2:$B$10,B73)=0,"ERROR",IF(B73="RollbackDetected","S5 FAIL_SAFE",IF(A73="S6 TOOL_QUARANTINE","S6 TOOL_QUARANTINE",IFERROR(IF(C73="true",INDEX(Spec12!$B$2:$B$9,MATCH(A73&amp;"|"&amp;B73,Spec12!$A$2:$A$9,0)),INDEX(Spec12!$C$2:$C$9,MATCH(A73&amp;"|"&amp;B73,Spec12!$A$2:$A$9,0))),"ERROR")))))</f>
        <v>ERROR</v>
      </c>
    </row>
    <row r="74" spans="1:4" x14ac:dyDescent="0.3">
      <c r="A74" t="s">
        <v>11</v>
      </c>
      <c r="B74" t="s">
        <v>23</v>
      </c>
      <c r="C74" t="s">
        <v>85</v>
      </c>
      <c r="D74" t="str">
        <f>IF(COUNTIF(Vocab!$A$2:$A$10,A74)=0,"ERROR",IF(COUNTIF(Vocab!$B$2:$B$10,B74)=0,"ERROR",IF(B74="RollbackDetected","S5 FAIL_SAFE",IF(A74="S6 TOOL_QUARANTINE","S6 TOOL_QUARANTINE",IFERROR(IF(C74="true",INDEX(Spec12!$B$2:$B$9,MATCH(A74&amp;"|"&amp;B74,Spec12!$A$2:$A$9,0)),INDEX(Spec12!$C$2:$C$9,MATCH(A74&amp;"|"&amp;B74,Spec12!$A$2:$A$9,0))),"ERROR")))))</f>
        <v>ERROR</v>
      </c>
    </row>
    <row r="75" spans="1:4" x14ac:dyDescent="0.3">
      <c r="A75" t="s">
        <v>11</v>
      </c>
      <c r="B75" t="s">
        <v>23</v>
      </c>
      <c r="C75" t="s">
        <v>89</v>
      </c>
      <c r="D75" t="str">
        <f>IF(COUNTIF(Vocab!$A$2:$A$10,A75)=0,"ERROR",IF(COUNTIF(Vocab!$B$2:$B$10,B75)=0,"ERROR",IF(B75="RollbackDetected","S5 FAIL_SAFE",IF(A75="S6 TOOL_QUARANTINE","S6 TOOL_QUARANTINE",IFERROR(IF(C75="true",INDEX(Spec12!$B$2:$B$9,MATCH(A75&amp;"|"&amp;B75,Spec12!$A$2:$A$9,0)),INDEX(Spec12!$C$2:$C$9,MATCH(A75&amp;"|"&amp;B75,Spec12!$A$2:$A$9,0))),"ERROR")))))</f>
        <v>ERROR</v>
      </c>
    </row>
    <row r="76" spans="1:4" x14ac:dyDescent="0.3">
      <c r="A76" t="s">
        <v>11</v>
      </c>
      <c r="B76" t="s">
        <v>25</v>
      </c>
      <c r="C76" t="s">
        <v>85</v>
      </c>
      <c r="D76" t="str">
        <f>IF(COUNTIF(Vocab!$A$2:$A$10,A76)=0,"ERROR",IF(COUNTIF(Vocab!$B$2:$B$10,B76)=0,"ERROR",IF(B76="RollbackDetected","S5 FAIL_SAFE",IF(A76="S6 TOOL_QUARANTINE","S6 TOOL_QUARANTINE",IFERROR(IF(C76="true",INDEX(Spec12!$B$2:$B$9,MATCH(A76&amp;"|"&amp;B76,Spec12!$A$2:$A$9,0)),INDEX(Spec12!$C$2:$C$9,MATCH(A76&amp;"|"&amp;B76,Spec12!$A$2:$A$9,0))),"ERROR")))))</f>
        <v>ERROR</v>
      </c>
    </row>
    <row r="77" spans="1:4" x14ac:dyDescent="0.3">
      <c r="A77" t="s">
        <v>11</v>
      </c>
      <c r="B77" t="s">
        <v>25</v>
      </c>
      <c r="C77" t="s">
        <v>89</v>
      </c>
      <c r="D77" t="str">
        <f>IF(COUNTIF(Vocab!$A$2:$A$10,A77)=0,"ERROR",IF(COUNTIF(Vocab!$B$2:$B$10,B77)=0,"ERROR",IF(B77="RollbackDetected","S5 FAIL_SAFE",IF(A77="S6 TOOL_QUARANTINE","S6 TOOL_QUARANTINE",IFERROR(IF(C77="true",INDEX(Spec12!$B$2:$B$9,MATCH(A77&amp;"|"&amp;B77,Spec12!$A$2:$A$9,0)),INDEX(Spec12!$C$2:$C$9,MATCH(A77&amp;"|"&amp;B77,Spec12!$A$2:$A$9,0))),"ERROR")))))</f>
        <v>ERROR</v>
      </c>
    </row>
    <row r="78" spans="1:4" x14ac:dyDescent="0.3">
      <c r="A78" t="s">
        <v>11</v>
      </c>
      <c r="B78" t="s">
        <v>27</v>
      </c>
      <c r="C78" t="s">
        <v>85</v>
      </c>
      <c r="D78" t="str">
        <f>IF(COUNTIF(Vocab!$A$2:$A$10,A78)=0,"ERROR",IF(COUNTIF(Vocab!$B$2:$B$10,B78)=0,"ERROR",IF(B78="RollbackDetected","S5 FAIL_SAFE",IF(A78="S6 TOOL_QUARANTINE","S6 TOOL_QUARANTINE",IFERROR(IF(C78="true",INDEX(Spec12!$B$2:$B$9,MATCH(A78&amp;"|"&amp;B78,Spec12!$A$2:$A$9,0)),INDEX(Spec12!$C$2:$C$9,MATCH(A78&amp;"|"&amp;B78,Spec12!$A$2:$A$9,0))),"ERROR")))))</f>
        <v>ERROR</v>
      </c>
    </row>
    <row r="79" spans="1:4" x14ac:dyDescent="0.3">
      <c r="A79" t="s">
        <v>11</v>
      </c>
      <c r="B79" t="s">
        <v>27</v>
      </c>
      <c r="C79" t="s">
        <v>89</v>
      </c>
      <c r="D79" t="str">
        <f>IF(COUNTIF(Vocab!$A$2:$A$10,A79)=0,"ERROR",IF(COUNTIF(Vocab!$B$2:$B$10,B79)=0,"ERROR",IF(B79="RollbackDetected","S5 FAIL_SAFE",IF(A79="S6 TOOL_QUARANTINE","S6 TOOL_QUARANTINE",IFERROR(IF(C79="true",INDEX(Spec12!$B$2:$B$9,MATCH(A79&amp;"|"&amp;B79,Spec12!$A$2:$A$9,0)),INDEX(Spec12!$C$2:$C$9,MATCH(A79&amp;"|"&amp;B79,Spec12!$A$2:$A$9,0))),"ERROR")))))</f>
        <v>ERROR</v>
      </c>
    </row>
    <row r="80" spans="1:4" x14ac:dyDescent="0.3">
      <c r="A80" t="s">
        <v>11</v>
      </c>
      <c r="B80" t="s">
        <v>29</v>
      </c>
      <c r="C80" t="s">
        <v>85</v>
      </c>
      <c r="D80" t="str">
        <f>IF(COUNTIF(Vocab!$A$2:$A$10,A80)=0,"ERROR",IF(COUNTIF(Vocab!$B$2:$B$10,B80)=0,"ERROR",IF(B80="RollbackDetected","S5 FAIL_SAFE",IF(A80="S6 TOOL_QUARANTINE","S6 TOOL_QUARANTINE",IFERROR(IF(C80="true",INDEX(Spec12!$B$2:$B$9,MATCH(A80&amp;"|"&amp;B80,Spec12!$A$2:$A$9,0)),INDEX(Spec12!$C$2:$C$9,MATCH(A80&amp;"|"&amp;B80,Spec12!$A$2:$A$9,0))),"ERROR")))))</f>
        <v>ERROR</v>
      </c>
    </row>
    <row r="81" spans="1:4" x14ac:dyDescent="0.3">
      <c r="A81" t="s">
        <v>11</v>
      </c>
      <c r="B81" t="s">
        <v>29</v>
      </c>
      <c r="C81" t="s">
        <v>89</v>
      </c>
      <c r="D81" t="str">
        <f>IF(COUNTIF(Vocab!$A$2:$A$10,A81)=0,"ERROR",IF(COUNTIF(Vocab!$B$2:$B$10,B81)=0,"ERROR",IF(B81="RollbackDetected","S5 FAIL_SAFE",IF(A81="S6 TOOL_QUARANTINE","S6 TOOL_QUARANTINE",IFERROR(IF(C81="true",INDEX(Spec12!$B$2:$B$9,MATCH(A81&amp;"|"&amp;B81,Spec12!$A$2:$A$9,0)),INDEX(Spec12!$C$2:$C$9,MATCH(A81&amp;"|"&amp;B81,Spec12!$A$2:$A$9,0))),"ERROR")))))</f>
        <v>ERROR</v>
      </c>
    </row>
    <row r="82" spans="1:4" x14ac:dyDescent="0.3">
      <c r="A82" t="s">
        <v>11</v>
      </c>
      <c r="B82" t="s">
        <v>31</v>
      </c>
      <c r="C82" t="s">
        <v>85</v>
      </c>
      <c r="D82" t="str">
        <f>IF(COUNTIF(Vocab!$A$2:$A$10,A82)=0,"ERROR",IF(COUNTIF(Vocab!$B$2:$B$10,B82)=0,"ERROR",IF(B82="RollbackDetected","S5 FAIL_SAFE",IF(A82="S6 TOOL_QUARANTINE","S6 TOOL_QUARANTINE",IFERROR(IF(C82="true",INDEX(Spec12!$B$2:$B$9,MATCH(A82&amp;"|"&amp;B82,Spec12!$A$2:$A$9,0)),INDEX(Spec12!$C$2:$C$9,MATCH(A82&amp;"|"&amp;B82,Spec12!$A$2:$A$9,0))),"ERROR")))))</f>
        <v>S5 FAIL_SAFE</v>
      </c>
    </row>
    <row r="83" spans="1:4" x14ac:dyDescent="0.3">
      <c r="A83" t="s">
        <v>11</v>
      </c>
      <c r="B83" t="s">
        <v>31</v>
      </c>
      <c r="C83" t="s">
        <v>89</v>
      </c>
      <c r="D83" t="str">
        <f>IF(COUNTIF(Vocab!$A$2:$A$10,A83)=0,"ERROR",IF(COUNTIF(Vocab!$B$2:$B$10,B83)=0,"ERROR",IF(B83="RollbackDetected","S5 FAIL_SAFE",IF(A83="S6 TOOL_QUARANTINE","S6 TOOL_QUARANTINE",IFERROR(IF(C83="true",INDEX(Spec12!$B$2:$B$9,MATCH(A83&amp;"|"&amp;B83,Spec12!$A$2:$A$9,0)),INDEX(Spec12!$C$2:$C$9,MATCH(A83&amp;"|"&amp;B83,Spec12!$A$2:$A$9,0))),"ERROR")))))</f>
        <v>S5 FAIL_SAFE</v>
      </c>
    </row>
    <row r="84" spans="1:4" x14ac:dyDescent="0.3">
      <c r="A84" t="s">
        <v>11</v>
      </c>
      <c r="B84" t="s">
        <v>33</v>
      </c>
      <c r="C84" t="s">
        <v>85</v>
      </c>
      <c r="D84" t="str">
        <f>IF(COUNTIF(Vocab!$A$2:$A$10,A84)=0,"ERROR",IF(COUNTIF(Vocab!$B$2:$B$10,B84)=0,"ERROR",IF(B84="RollbackDetected","S5 FAIL_SAFE",IF(A84="S6 TOOL_QUARANTINE","S6 TOOL_QUARANTINE",IFERROR(IF(C84="true",INDEX(Spec12!$B$2:$B$9,MATCH(A84&amp;"|"&amp;B84,Spec12!$A$2:$A$9,0)),INDEX(Spec12!$C$2:$C$9,MATCH(A84&amp;"|"&amp;B84,Spec12!$A$2:$A$9,0))),"ERROR")))))</f>
        <v>ERROR</v>
      </c>
    </row>
    <row r="85" spans="1:4" x14ac:dyDescent="0.3">
      <c r="A85" t="s">
        <v>11</v>
      </c>
      <c r="B85" t="s">
        <v>33</v>
      </c>
      <c r="C85" t="s">
        <v>89</v>
      </c>
      <c r="D85" t="str">
        <f>IF(COUNTIF(Vocab!$A$2:$A$10,A85)=0,"ERROR",IF(COUNTIF(Vocab!$B$2:$B$10,B85)=0,"ERROR",IF(B85="RollbackDetected","S5 FAIL_SAFE",IF(A85="S6 TOOL_QUARANTINE","S6 TOOL_QUARANTINE",IFERROR(IF(C85="true",INDEX(Spec12!$B$2:$B$9,MATCH(A85&amp;"|"&amp;B85,Spec12!$A$2:$A$9,0)),INDEX(Spec12!$C$2:$C$9,MATCH(A85&amp;"|"&amp;B85,Spec12!$A$2:$A$9,0))),"ERROR")))))</f>
        <v>ERROR</v>
      </c>
    </row>
    <row r="86" spans="1:4" x14ac:dyDescent="0.3">
      <c r="A86" t="s">
        <v>11</v>
      </c>
      <c r="B86" t="s">
        <v>34</v>
      </c>
      <c r="C86" t="s">
        <v>85</v>
      </c>
      <c r="D86" t="str">
        <f>IF(COUNTIF(Vocab!$A$2:$A$10,A86)=0,"ERROR",IF(COUNTIF(Vocab!$B$2:$B$10,B86)=0,"ERROR",IF(B86="RollbackDetected","S5 FAIL_SAFE",IF(A86="S6 TOOL_QUARANTINE","S6 TOOL_QUARANTINE",IFERROR(IF(C86="true",INDEX(Spec12!$B$2:$B$9,MATCH(A86&amp;"|"&amp;B86,Spec12!$A$2:$A$9,0)),INDEX(Spec12!$C$2:$C$9,MATCH(A86&amp;"|"&amp;B86,Spec12!$A$2:$A$9,0))),"ERROR")))))</f>
        <v>ERROR</v>
      </c>
    </row>
    <row r="87" spans="1:4" x14ac:dyDescent="0.3">
      <c r="A87" t="s">
        <v>11</v>
      </c>
      <c r="B87" t="s">
        <v>34</v>
      </c>
      <c r="C87" t="s">
        <v>89</v>
      </c>
      <c r="D87" t="str">
        <f>IF(COUNTIF(Vocab!$A$2:$A$10,A87)=0,"ERROR",IF(COUNTIF(Vocab!$B$2:$B$10,B87)=0,"ERROR",IF(B87="RollbackDetected","S5 FAIL_SAFE",IF(A87="S6 TOOL_QUARANTINE","S6 TOOL_QUARANTINE",IFERROR(IF(C87="true",INDEX(Spec12!$B$2:$B$9,MATCH(A87&amp;"|"&amp;B87,Spec12!$A$2:$A$9,0)),INDEX(Spec12!$C$2:$C$9,MATCH(A87&amp;"|"&amp;B87,Spec12!$A$2:$A$9,0))),"ERROR")))))</f>
        <v>ERROR</v>
      </c>
    </row>
    <row r="88" spans="1:4" x14ac:dyDescent="0.3">
      <c r="A88" t="s">
        <v>11</v>
      </c>
      <c r="B88" t="s">
        <v>35</v>
      </c>
      <c r="C88" t="s">
        <v>85</v>
      </c>
      <c r="D88" t="str">
        <f>IF(COUNTIF(Vocab!$A$2:$A$10,A88)=0,"ERROR",IF(COUNTIF(Vocab!$B$2:$B$10,B88)=0,"ERROR",IF(B88="RollbackDetected","S5 FAIL_SAFE",IF(A88="S6 TOOL_QUARANTINE","S6 TOOL_QUARANTINE",IFERROR(IF(C88="true",INDEX(Spec12!$B$2:$B$9,MATCH(A88&amp;"|"&amp;B88,Spec12!$A$2:$A$9,0)),INDEX(Spec12!$C$2:$C$9,MATCH(A88&amp;"|"&amp;B88,Spec12!$A$2:$A$9,0))),"ERROR")))))</f>
        <v>ERROR</v>
      </c>
    </row>
    <row r="89" spans="1:4" x14ac:dyDescent="0.3">
      <c r="A89" t="s">
        <v>11</v>
      </c>
      <c r="B89" t="s">
        <v>35</v>
      </c>
      <c r="C89" t="s">
        <v>89</v>
      </c>
      <c r="D89" t="str">
        <f>IF(COUNTIF(Vocab!$A$2:$A$10,A89)=0,"ERROR",IF(COUNTIF(Vocab!$B$2:$B$10,B89)=0,"ERROR",IF(B89="RollbackDetected","S5 FAIL_SAFE",IF(A89="S6 TOOL_QUARANTINE","S6 TOOL_QUARANTINE",IFERROR(IF(C89="true",INDEX(Spec12!$B$2:$B$9,MATCH(A89&amp;"|"&amp;B89,Spec12!$A$2:$A$9,0)),INDEX(Spec12!$C$2:$C$9,MATCH(A89&amp;"|"&amp;B89,Spec12!$A$2:$A$9,0))),"ERROR")))))</f>
        <v>ERROR</v>
      </c>
    </row>
    <row r="90" spans="1:4" x14ac:dyDescent="0.3">
      <c r="A90" t="s">
        <v>11</v>
      </c>
      <c r="B90" t="s">
        <v>36</v>
      </c>
      <c r="C90" t="s">
        <v>85</v>
      </c>
      <c r="D90" t="str">
        <f>IF(COUNTIF(Vocab!$A$2:$A$10,A90)=0,"ERROR",IF(COUNTIF(Vocab!$B$2:$B$10,B90)=0,"ERROR",IF(B90="RollbackDetected","S5 FAIL_SAFE",IF(A90="S6 TOOL_QUARANTINE","S6 TOOL_QUARANTINE",IFERROR(IF(C90="true",INDEX(Spec12!$B$2:$B$9,MATCH(A90&amp;"|"&amp;B90,Spec12!$A$2:$A$9,0)),INDEX(Spec12!$C$2:$C$9,MATCH(A90&amp;"|"&amp;B90,Spec12!$A$2:$A$9,0))),"ERROR")))))</f>
        <v>ERROR</v>
      </c>
    </row>
    <row r="91" spans="1:4" x14ac:dyDescent="0.3">
      <c r="A91" t="s">
        <v>11</v>
      </c>
      <c r="B91" t="s">
        <v>36</v>
      </c>
      <c r="C91" t="s">
        <v>89</v>
      </c>
      <c r="D91" t="str">
        <f>IF(COUNTIF(Vocab!$A$2:$A$10,A91)=0,"ERROR",IF(COUNTIF(Vocab!$B$2:$B$10,B91)=0,"ERROR",IF(B91="RollbackDetected","S5 FAIL_SAFE",IF(A91="S6 TOOL_QUARANTINE","S6 TOOL_QUARANTINE",IFERROR(IF(C91="true",INDEX(Spec12!$B$2:$B$9,MATCH(A91&amp;"|"&amp;B91,Spec12!$A$2:$A$9,0)),INDEX(Spec12!$C$2:$C$9,MATCH(A91&amp;"|"&amp;B91,Spec12!$A$2:$A$9,0))),"ERROR")))))</f>
        <v>ERROR</v>
      </c>
    </row>
    <row r="92" spans="1:4" x14ac:dyDescent="0.3">
      <c r="A92" t="s">
        <v>5</v>
      </c>
      <c r="B92" t="s">
        <v>23</v>
      </c>
      <c r="C92" t="s">
        <v>85</v>
      </c>
      <c r="D92" t="str">
        <f>IF(COUNTIF(Vocab!$A$2:$A$10,A92)=0,"ERROR",IF(COUNTIF(Vocab!$B$2:$B$10,B92)=0,"ERROR",IF(B92="RollbackDetected","S5 FAIL_SAFE",IF(A92="S6 TOOL_QUARANTINE","S6 TOOL_QUARANTINE",IFERROR(IF(C92="true",INDEX(Spec12!$B$2:$B$9,MATCH(A92&amp;"|"&amp;B92,Spec12!$A$2:$A$9,0)),INDEX(Spec12!$C$2:$C$9,MATCH(A92&amp;"|"&amp;B92,Spec12!$A$2:$A$9,0))),"ERROR")))))</f>
        <v>ERROR</v>
      </c>
    </row>
    <row r="93" spans="1:4" x14ac:dyDescent="0.3">
      <c r="A93" t="s">
        <v>5</v>
      </c>
      <c r="B93" t="s">
        <v>23</v>
      </c>
      <c r="C93" t="s">
        <v>89</v>
      </c>
      <c r="D93" t="str">
        <f>IF(COUNTIF(Vocab!$A$2:$A$10,A93)=0,"ERROR",IF(COUNTIF(Vocab!$B$2:$B$10,B93)=0,"ERROR",IF(B93="RollbackDetected","S5 FAIL_SAFE",IF(A93="S6 TOOL_QUARANTINE","S6 TOOL_QUARANTINE",IFERROR(IF(C93="true",INDEX(Spec12!$B$2:$B$9,MATCH(A93&amp;"|"&amp;B93,Spec12!$A$2:$A$9,0)),INDEX(Spec12!$C$2:$C$9,MATCH(A93&amp;"|"&amp;B93,Spec12!$A$2:$A$9,0))),"ERROR")))))</f>
        <v>ERROR</v>
      </c>
    </row>
    <row r="94" spans="1:4" x14ac:dyDescent="0.3">
      <c r="A94" t="s">
        <v>5</v>
      </c>
      <c r="B94" t="s">
        <v>25</v>
      </c>
      <c r="C94" t="s">
        <v>85</v>
      </c>
      <c r="D94" t="str">
        <f>IF(COUNTIF(Vocab!$A$2:$A$10,A94)=0,"ERROR",IF(COUNTIF(Vocab!$B$2:$B$10,B94)=0,"ERROR",IF(B94="RollbackDetected","S5 FAIL_SAFE",IF(A94="S6 TOOL_QUARANTINE","S6 TOOL_QUARANTINE",IFERROR(IF(C94="true",INDEX(Spec12!$B$2:$B$9,MATCH(A94&amp;"|"&amp;B94,Spec12!$A$2:$A$9,0)),INDEX(Spec12!$C$2:$C$9,MATCH(A94&amp;"|"&amp;B94,Spec12!$A$2:$A$9,0))),"ERROR")))))</f>
        <v>ERROR</v>
      </c>
    </row>
    <row r="95" spans="1:4" x14ac:dyDescent="0.3">
      <c r="A95" t="s">
        <v>5</v>
      </c>
      <c r="B95" t="s">
        <v>25</v>
      </c>
      <c r="C95" t="s">
        <v>89</v>
      </c>
      <c r="D95" t="str">
        <f>IF(COUNTIF(Vocab!$A$2:$A$10,A95)=0,"ERROR",IF(COUNTIF(Vocab!$B$2:$B$10,B95)=0,"ERROR",IF(B95="RollbackDetected","S5 FAIL_SAFE",IF(A95="S6 TOOL_QUARANTINE","S6 TOOL_QUARANTINE",IFERROR(IF(C95="true",INDEX(Spec12!$B$2:$B$9,MATCH(A95&amp;"|"&amp;B95,Spec12!$A$2:$A$9,0)),INDEX(Spec12!$C$2:$C$9,MATCH(A95&amp;"|"&amp;B95,Spec12!$A$2:$A$9,0))),"ERROR")))))</f>
        <v>ERROR</v>
      </c>
    </row>
    <row r="96" spans="1:4" x14ac:dyDescent="0.3">
      <c r="A96" t="s">
        <v>5</v>
      </c>
      <c r="B96" t="s">
        <v>27</v>
      </c>
      <c r="C96" t="s">
        <v>85</v>
      </c>
      <c r="D96" t="str">
        <f>IF(COUNTIF(Vocab!$A$2:$A$10,A96)=0,"ERROR",IF(COUNTIF(Vocab!$B$2:$B$10,B96)=0,"ERROR",IF(B96="RollbackDetected","S5 FAIL_SAFE",IF(A96="S6 TOOL_QUARANTINE","S6 TOOL_QUARANTINE",IFERROR(IF(C96="true",INDEX(Spec12!$B$2:$B$9,MATCH(A96&amp;"|"&amp;B96,Spec12!$A$2:$A$9,0)),INDEX(Spec12!$C$2:$C$9,MATCH(A96&amp;"|"&amp;B96,Spec12!$A$2:$A$9,0))),"ERROR")))))</f>
        <v>ERROR</v>
      </c>
    </row>
    <row r="97" spans="1:4" x14ac:dyDescent="0.3">
      <c r="A97" t="s">
        <v>5</v>
      </c>
      <c r="B97" t="s">
        <v>27</v>
      </c>
      <c r="C97" t="s">
        <v>89</v>
      </c>
      <c r="D97" t="str">
        <f>IF(COUNTIF(Vocab!$A$2:$A$10,A97)=0,"ERROR",IF(COUNTIF(Vocab!$B$2:$B$10,B97)=0,"ERROR",IF(B97="RollbackDetected","S5 FAIL_SAFE",IF(A97="S6 TOOL_QUARANTINE","S6 TOOL_QUARANTINE",IFERROR(IF(C97="true",INDEX(Spec12!$B$2:$B$9,MATCH(A97&amp;"|"&amp;B97,Spec12!$A$2:$A$9,0)),INDEX(Spec12!$C$2:$C$9,MATCH(A97&amp;"|"&amp;B97,Spec12!$A$2:$A$9,0))),"ERROR")))))</f>
        <v>ERROR</v>
      </c>
    </row>
    <row r="98" spans="1:4" x14ac:dyDescent="0.3">
      <c r="A98" t="s">
        <v>5</v>
      </c>
      <c r="B98" t="s">
        <v>29</v>
      </c>
      <c r="C98" t="s">
        <v>85</v>
      </c>
      <c r="D98" t="str">
        <f>IF(COUNTIF(Vocab!$A$2:$A$10,A98)=0,"ERROR",IF(COUNTIF(Vocab!$B$2:$B$10,B98)=0,"ERROR",IF(B98="RollbackDetected","S5 FAIL_SAFE",IF(A98="S6 TOOL_QUARANTINE","S6 TOOL_QUARANTINE",IFERROR(IF(C98="true",INDEX(Spec12!$B$2:$B$9,MATCH(A98&amp;"|"&amp;B98,Spec12!$A$2:$A$9,0)),INDEX(Spec12!$C$2:$C$9,MATCH(A98&amp;"|"&amp;B98,Spec12!$A$2:$A$9,0))),"ERROR")))))</f>
        <v>ERROR</v>
      </c>
    </row>
    <row r="99" spans="1:4" x14ac:dyDescent="0.3">
      <c r="A99" t="s">
        <v>5</v>
      </c>
      <c r="B99" t="s">
        <v>29</v>
      </c>
      <c r="C99" t="s">
        <v>89</v>
      </c>
      <c r="D99" t="str">
        <f>IF(COUNTIF(Vocab!$A$2:$A$10,A99)=0,"ERROR",IF(COUNTIF(Vocab!$B$2:$B$10,B99)=0,"ERROR",IF(B99="RollbackDetected","S5 FAIL_SAFE",IF(A99="S6 TOOL_QUARANTINE","S6 TOOL_QUARANTINE",IFERROR(IF(C99="true",INDEX(Spec12!$B$2:$B$9,MATCH(A99&amp;"|"&amp;B99,Spec12!$A$2:$A$9,0)),INDEX(Spec12!$C$2:$C$9,MATCH(A99&amp;"|"&amp;B99,Spec12!$A$2:$A$9,0))),"ERROR")))))</f>
        <v>ERROR</v>
      </c>
    </row>
    <row r="100" spans="1:4" x14ac:dyDescent="0.3">
      <c r="A100" t="s">
        <v>5</v>
      </c>
      <c r="B100" t="s">
        <v>31</v>
      </c>
      <c r="C100" t="s">
        <v>85</v>
      </c>
      <c r="D100" t="str">
        <f>IF(COUNTIF(Vocab!$A$2:$A$10,A100)=0,"ERROR",IF(COUNTIF(Vocab!$B$2:$B$10,B100)=0,"ERROR",IF(B100="RollbackDetected","S5 FAIL_SAFE",IF(A100="S6 TOOL_QUARANTINE","S6 TOOL_QUARANTINE",IFERROR(IF(C100="true",INDEX(Spec12!$B$2:$B$9,MATCH(A100&amp;"|"&amp;B100,Spec12!$A$2:$A$9,0)),INDEX(Spec12!$C$2:$C$9,MATCH(A100&amp;"|"&amp;B100,Spec12!$A$2:$A$9,0))),"ERROR")))))</f>
        <v>S5 FAIL_SAFE</v>
      </c>
    </row>
    <row r="101" spans="1:4" x14ac:dyDescent="0.3">
      <c r="A101" t="s">
        <v>5</v>
      </c>
      <c r="B101" t="s">
        <v>31</v>
      </c>
      <c r="C101" t="s">
        <v>89</v>
      </c>
      <c r="D101" t="str">
        <f>IF(COUNTIF(Vocab!$A$2:$A$10,A101)=0,"ERROR",IF(COUNTIF(Vocab!$B$2:$B$10,B101)=0,"ERROR",IF(B101="RollbackDetected","S5 FAIL_SAFE",IF(A101="S6 TOOL_QUARANTINE","S6 TOOL_QUARANTINE",IFERROR(IF(C101="true",INDEX(Spec12!$B$2:$B$9,MATCH(A101&amp;"|"&amp;B101,Spec12!$A$2:$A$9,0)),INDEX(Spec12!$C$2:$C$9,MATCH(A101&amp;"|"&amp;B101,Spec12!$A$2:$A$9,0))),"ERROR")))))</f>
        <v>S5 FAIL_SAFE</v>
      </c>
    </row>
    <row r="102" spans="1:4" x14ac:dyDescent="0.3">
      <c r="A102" t="s">
        <v>5</v>
      </c>
      <c r="B102" t="s">
        <v>33</v>
      </c>
      <c r="C102" t="s">
        <v>85</v>
      </c>
      <c r="D102" t="str">
        <f>IF(COUNTIF(Vocab!$A$2:$A$10,A102)=0,"ERROR",IF(COUNTIF(Vocab!$B$2:$B$10,B102)=0,"ERROR",IF(B102="RollbackDetected","S5 FAIL_SAFE",IF(A102="S6 TOOL_QUARANTINE","S6 TOOL_QUARANTINE",IFERROR(IF(C102="true",INDEX(Spec12!$B$2:$B$9,MATCH(A102&amp;"|"&amp;B102,Spec12!$A$2:$A$9,0)),INDEX(Spec12!$C$2:$C$9,MATCH(A102&amp;"|"&amp;B102,Spec12!$A$2:$A$9,0))),"ERROR")))))</f>
        <v>ERROR</v>
      </c>
    </row>
    <row r="103" spans="1:4" x14ac:dyDescent="0.3">
      <c r="A103" t="s">
        <v>5</v>
      </c>
      <c r="B103" t="s">
        <v>33</v>
      </c>
      <c r="C103" t="s">
        <v>89</v>
      </c>
      <c r="D103" t="str">
        <f>IF(COUNTIF(Vocab!$A$2:$A$10,A103)=0,"ERROR",IF(COUNTIF(Vocab!$B$2:$B$10,B103)=0,"ERROR",IF(B103="RollbackDetected","S5 FAIL_SAFE",IF(A103="S6 TOOL_QUARANTINE","S6 TOOL_QUARANTINE",IFERROR(IF(C103="true",INDEX(Spec12!$B$2:$B$9,MATCH(A103&amp;"|"&amp;B103,Spec12!$A$2:$A$9,0)),INDEX(Spec12!$C$2:$C$9,MATCH(A103&amp;"|"&amp;B103,Spec12!$A$2:$A$9,0))),"ERROR")))))</f>
        <v>ERROR</v>
      </c>
    </row>
    <row r="104" spans="1:4" x14ac:dyDescent="0.3">
      <c r="A104" t="s">
        <v>5</v>
      </c>
      <c r="B104" t="s">
        <v>34</v>
      </c>
      <c r="C104" t="s">
        <v>85</v>
      </c>
      <c r="D104" t="str">
        <f>IF(COUNTIF(Vocab!$A$2:$A$10,A104)=0,"ERROR",IF(COUNTIF(Vocab!$B$2:$B$10,B104)=0,"ERROR",IF(B104="RollbackDetected","S5 FAIL_SAFE",IF(A104="S6 TOOL_QUARANTINE","S6 TOOL_QUARANTINE",IFERROR(IF(C104="true",INDEX(Spec12!$B$2:$B$9,MATCH(A104&amp;"|"&amp;B104,Spec12!$A$2:$A$9,0)),INDEX(Spec12!$C$2:$C$9,MATCH(A104&amp;"|"&amp;B104,Spec12!$A$2:$A$9,0))),"ERROR")))))</f>
        <v>S7 RECOVERY_REPLAY</v>
      </c>
    </row>
    <row r="105" spans="1:4" x14ac:dyDescent="0.3">
      <c r="A105" t="s">
        <v>5</v>
      </c>
      <c r="B105" t="s">
        <v>34</v>
      </c>
      <c r="C105" t="s">
        <v>89</v>
      </c>
      <c r="D105" t="str">
        <f>IF(COUNTIF(Vocab!$A$2:$A$10,A105)=0,"ERROR",IF(COUNTIF(Vocab!$B$2:$B$10,B105)=0,"ERROR",IF(B105="RollbackDetected","S5 FAIL_SAFE",IF(A105="S6 TOOL_QUARANTINE","S6 TOOL_QUARANTINE",IFERROR(IF(C105="true",INDEX(Spec12!$B$2:$B$9,MATCH(A105&amp;"|"&amp;B105,Spec12!$A$2:$A$9,0)),INDEX(Spec12!$C$2:$C$9,MATCH(A105&amp;"|"&amp;B105,Spec12!$A$2:$A$9,0))),"ERROR")))))</f>
        <v>S5 FAIL_SAFE</v>
      </c>
    </row>
    <row r="106" spans="1:4" x14ac:dyDescent="0.3">
      <c r="A106" t="s">
        <v>5</v>
      </c>
      <c r="B106" t="s">
        <v>35</v>
      </c>
      <c r="C106" t="s">
        <v>85</v>
      </c>
      <c r="D106" t="str">
        <f>IF(COUNTIF(Vocab!$A$2:$A$10,A106)=0,"ERROR",IF(COUNTIF(Vocab!$B$2:$B$10,B106)=0,"ERROR",IF(B106="RollbackDetected","S5 FAIL_SAFE",IF(A106="S6 TOOL_QUARANTINE","S6 TOOL_QUARANTINE",IFERROR(IF(C106="true",INDEX(Spec12!$B$2:$B$9,MATCH(A106&amp;"|"&amp;B106,Spec12!$A$2:$A$9,0)),INDEX(Spec12!$C$2:$C$9,MATCH(A106&amp;"|"&amp;B106,Spec12!$A$2:$A$9,0))),"ERROR")))))</f>
        <v>ERROR</v>
      </c>
    </row>
    <row r="107" spans="1:4" x14ac:dyDescent="0.3">
      <c r="A107" t="s">
        <v>5</v>
      </c>
      <c r="B107" t="s">
        <v>35</v>
      </c>
      <c r="C107" t="s">
        <v>89</v>
      </c>
      <c r="D107" t="str">
        <f>IF(COUNTIF(Vocab!$A$2:$A$10,A107)=0,"ERROR",IF(COUNTIF(Vocab!$B$2:$B$10,B107)=0,"ERROR",IF(B107="RollbackDetected","S5 FAIL_SAFE",IF(A107="S6 TOOL_QUARANTINE","S6 TOOL_QUARANTINE",IFERROR(IF(C107="true",INDEX(Spec12!$B$2:$B$9,MATCH(A107&amp;"|"&amp;B107,Spec12!$A$2:$A$9,0)),INDEX(Spec12!$C$2:$C$9,MATCH(A107&amp;"|"&amp;B107,Spec12!$A$2:$A$9,0))),"ERROR")))))</f>
        <v>ERROR</v>
      </c>
    </row>
    <row r="108" spans="1:4" x14ac:dyDescent="0.3">
      <c r="A108" t="s">
        <v>5</v>
      </c>
      <c r="B108" t="s">
        <v>36</v>
      </c>
      <c r="C108" t="s">
        <v>85</v>
      </c>
      <c r="D108" t="str">
        <f>IF(COUNTIF(Vocab!$A$2:$A$10,A108)=0,"ERROR",IF(COUNTIF(Vocab!$B$2:$B$10,B108)=0,"ERROR",IF(B108="RollbackDetected","S5 FAIL_SAFE",IF(A108="S6 TOOL_QUARANTINE","S6 TOOL_QUARANTINE",IFERROR(IF(C108="true",INDEX(Spec12!$B$2:$B$9,MATCH(A108&amp;"|"&amp;B108,Spec12!$A$2:$A$9,0)),INDEX(Spec12!$C$2:$C$9,MATCH(A108&amp;"|"&amp;B108,Spec12!$A$2:$A$9,0))),"ERROR")))))</f>
        <v>ERROR</v>
      </c>
    </row>
    <row r="109" spans="1:4" x14ac:dyDescent="0.3">
      <c r="A109" t="s">
        <v>5</v>
      </c>
      <c r="B109" t="s">
        <v>36</v>
      </c>
      <c r="C109" t="s">
        <v>89</v>
      </c>
      <c r="D109" t="str">
        <f>IF(COUNTIF(Vocab!$A$2:$A$10,A109)=0,"ERROR",IF(COUNTIF(Vocab!$B$2:$B$10,B109)=0,"ERROR",IF(B109="RollbackDetected","S5 FAIL_SAFE",IF(A109="S6 TOOL_QUARANTINE","S6 TOOL_QUARANTINE",IFERROR(IF(C109="true",INDEX(Spec12!$B$2:$B$9,MATCH(A109&amp;"|"&amp;B109,Spec12!$A$2:$A$9,0)),INDEX(Spec12!$C$2:$C$9,MATCH(A109&amp;"|"&amp;B109,Spec12!$A$2:$A$9,0))),"ERROR")))))</f>
        <v>ERROR</v>
      </c>
    </row>
    <row r="110" spans="1:4" x14ac:dyDescent="0.3">
      <c r="A110" t="s">
        <v>13</v>
      </c>
      <c r="B110" t="s">
        <v>23</v>
      </c>
      <c r="C110" t="s">
        <v>85</v>
      </c>
      <c r="D110" t="str">
        <f>IF(COUNTIF(Vocab!$A$2:$A$10,A110)=0,"ERROR",IF(COUNTIF(Vocab!$B$2:$B$10,B110)=0,"ERROR",IF(B110="RollbackDetected","S5 FAIL_SAFE",IF(A110="S6 TOOL_QUARANTINE","S6 TOOL_QUARANTINE",IFERROR(IF(C110="true",INDEX(Spec12!$B$2:$B$9,MATCH(A110&amp;"|"&amp;B110,Spec12!$A$2:$A$9,0)),INDEX(Spec12!$C$2:$C$9,MATCH(A110&amp;"|"&amp;B110,Spec12!$A$2:$A$9,0))),"ERROR")))))</f>
        <v>S6 TOOL_QUARANTINE</v>
      </c>
    </row>
    <row r="111" spans="1:4" x14ac:dyDescent="0.3">
      <c r="A111" t="s">
        <v>13</v>
      </c>
      <c r="B111" t="s">
        <v>23</v>
      </c>
      <c r="C111" t="s">
        <v>89</v>
      </c>
      <c r="D111" t="str">
        <f>IF(COUNTIF(Vocab!$A$2:$A$10,A111)=0,"ERROR",IF(COUNTIF(Vocab!$B$2:$B$10,B111)=0,"ERROR",IF(B111="RollbackDetected","S5 FAIL_SAFE",IF(A111="S6 TOOL_QUARANTINE","S6 TOOL_QUARANTINE",IFERROR(IF(C111="true",INDEX(Spec12!$B$2:$B$9,MATCH(A111&amp;"|"&amp;B111,Spec12!$A$2:$A$9,0)),INDEX(Spec12!$C$2:$C$9,MATCH(A111&amp;"|"&amp;B111,Spec12!$A$2:$A$9,0))),"ERROR")))))</f>
        <v>S6 TOOL_QUARANTINE</v>
      </c>
    </row>
    <row r="112" spans="1:4" x14ac:dyDescent="0.3">
      <c r="A112" t="s">
        <v>13</v>
      </c>
      <c r="B112" t="s">
        <v>25</v>
      </c>
      <c r="C112" t="s">
        <v>85</v>
      </c>
      <c r="D112" t="str">
        <f>IF(COUNTIF(Vocab!$A$2:$A$10,A112)=0,"ERROR",IF(COUNTIF(Vocab!$B$2:$B$10,B112)=0,"ERROR",IF(B112="RollbackDetected","S5 FAIL_SAFE",IF(A112="S6 TOOL_QUARANTINE","S6 TOOL_QUARANTINE",IFERROR(IF(C112="true",INDEX(Spec12!$B$2:$B$9,MATCH(A112&amp;"|"&amp;B112,Spec12!$A$2:$A$9,0)),INDEX(Spec12!$C$2:$C$9,MATCH(A112&amp;"|"&amp;B112,Spec12!$A$2:$A$9,0))),"ERROR")))))</f>
        <v>S6 TOOL_QUARANTINE</v>
      </c>
    </row>
    <row r="113" spans="1:4" x14ac:dyDescent="0.3">
      <c r="A113" t="s">
        <v>13</v>
      </c>
      <c r="B113" t="s">
        <v>25</v>
      </c>
      <c r="C113" t="s">
        <v>89</v>
      </c>
      <c r="D113" t="str">
        <f>IF(COUNTIF(Vocab!$A$2:$A$10,A113)=0,"ERROR",IF(COUNTIF(Vocab!$B$2:$B$10,B113)=0,"ERROR",IF(B113="RollbackDetected","S5 FAIL_SAFE",IF(A113="S6 TOOL_QUARANTINE","S6 TOOL_QUARANTINE",IFERROR(IF(C113="true",INDEX(Spec12!$B$2:$B$9,MATCH(A113&amp;"|"&amp;B113,Spec12!$A$2:$A$9,0)),INDEX(Spec12!$C$2:$C$9,MATCH(A113&amp;"|"&amp;B113,Spec12!$A$2:$A$9,0))),"ERROR")))))</f>
        <v>S6 TOOL_QUARANTINE</v>
      </c>
    </row>
    <row r="114" spans="1:4" x14ac:dyDescent="0.3">
      <c r="A114" t="s">
        <v>13</v>
      </c>
      <c r="B114" t="s">
        <v>27</v>
      </c>
      <c r="C114" t="s">
        <v>85</v>
      </c>
      <c r="D114" t="str">
        <f>IF(COUNTIF(Vocab!$A$2:$A$10,A114)=0,"ERROR",IF(COUNTIF(Vocab!$B$2:$B$10,B114)=0,"ERROR",IF(B114="RollbackDetected","S5 FAIL_SAFE",IF(A114="S6 TOOL_QUARANTINE","S6 TOOL_QUARANTINE",IFERROR(IF(C114="true",INDEX(Spec12!$B$2:$B$9,MATCH(A114&amp;"|"&amp;B114,Spec12!$A$2:$A$9,0)),INDEX(Spec12!$C$2:$C$9,MATCH(A114&amp;"|"&amp;B114,Spec12!$A$2:$A$9,0))),"ERROR")))))</f>
        <v>S6 TOOL_QUARANTINE</v>
      </c>
    </row>
    <row r="115" spans="1:4" x14ac:dyDescent="0.3">
      <c r="A115" t="s">
        <v>13</v>
      </c>
      <c r="B115" t="s">
        <v>27</v>
      </c>
      <c r="C115" t="s">
        <v>89</v>
      </c>
      <c r="D115" t="str">
        <f>IF(COUNTIF(Vocab!$A$2:$A$10,A115)=0,"ERROR",IF(COUNTIF(Vocab!$B$2:$B$10,B115)=0,"ERROR",IF(B115="RollbackDetected","S5 FAIL_SAFE",IF(A115="S6 TOOL_QUARANTINE","S6 TOOL_QUARANTINE",IFERROR(IF(C115="true",INDEX(Spec12!$B$2:$B$9,MATCH(A115&amp;"|"&amp;B115,Spec12!$A$2:$A$9,0)),INDEX(Spec12!$C$2:$C$9,MATCH(A115&amp;"|"&amp;B115,Spec12!$A$2:$A$9,0))),"ERROR")))))</f>
        <v>S6 TOOL_QUARANTINE</v>
      </c>
    </row>
    <row r="116" spans="1:4" x14ac:dyDescent="0.3">
      <c r="A116" t="s">
        <v>13</v>
      </c>
      <c r="B116" t="s">
        <v>29</v>
      </c>
      <c r="C116" t="s">
        <v>85</v>
      </c>
      <c r="D116" t="str">
        <f>IF(COUNTIF(Vocab!$A$2:$A$10,A116)=0,"ERROR",IF(COUNTIF(Vocab!$B$2:$B$10,B116)=0,"ERROR",IF(B116="RollbackDetected","S5 FAIL_SAFE",IF(A116="S6 TOOL_QUARANTINE","S6 TOOL_QUARANTINE",IFERROR(IF(C116="true",INDEX(Spec12!$B$2:$B$9,MATCH(A116&amp;"|"&amp;B116,Spec12!$A$2:$A$9,0)),INDEX(Spec12!$C$2:$C$9,MATCH(A116&amp;"|"&amp;B116,Spec12!$A$2:$A$9,0))),"ERROR")))))</f>
        <v>S6 TOOL_QUARANTINE</v>
      </c>
    </row>
    <row r="117" spans="1:4" x14ac:dyDescent="0.3">
      <c r="A117" t="s">
        <v>13</v>
      </c>
      <c r="B117" t="s">
        <v>29</v>
      </c>
      <c r="C117" t="s">
        <v>89</v>
      </c>
      <c r="D117" t="str">
        <f>IF(COUNTIF(Vocab!$A$2:$A$10,A117)=0,"ERROR",IF(COUNTIF(Vocab!$B$2:$B$10,B117)=0,"ERROR",IF(B117="RollbackDetected","S5 FAIL_SAFE",IF(A117="S6 TOOL_QUARANTINE","S6 TOOL_QUARANTINE",IFERROR(IF(C117="true",INDEX(Spec12!$B$2:$B$9,MATCH(A117&amp;"|"&amp;B117,Spec12!$A$2:$A$9,0)),INDEX(Spec12!$C$2:$C$9,MATCH(A117&amp;"|"&amp;B117,Spec12!$A$2:$A$9,0))),"ERROR")))))</f>
        <v>S6 TOOL_QUARANTINE</v>
      </c>
    </row>
    <row r="118" spans="1:4" x14ac:dyDescent="0.3">
      <c r="A118" t="s">
        <v>13</v>
      </c>
      <c r="B118" t="s">
        <v>31</v>
      </c>
      <c r="C118" t="s">
        <v>85</v>
      </c>
      <c r="D118" t="str">
        <f>IF(COUNTIF(Vocab!$A$2:$A$10,A118)=0,"ERROR",IF(COUNTIF(Vocab!$B$2:$B$10,B118)=0,"ERROR",IF(B118="RollbackDetected","S5 FAIL_SAFE",IF(A118="S6 TOOL_QUARANTINE","S6 TOOL_QUARANTINE",IFERROR(IF(C118="true",INDEX(Spec12!$B$2:$B$9,MATCH(A118&amp;"|"&amp;B118,Spec12!$A$2:$A$9,0)),INDEX(Spec12!$C$2:$C$9,MATCH(A118&amp;"|"&amp;B118,Spec12!$A$2:$A$9,0))),"ERROR")))))</f>
        <v>S5 FAIL_SAFE</v>
      </c>
    </row>
    <row r="119" spans="1:4" x14ac:dyDescent="0.3">
      <c r="A119" t="s">
        <v>13</v>
      </c>
      <c r="B119" t="s">
        <v>31</v>
      </c>
      <c r="C119" t="s">
        <v>89</v>
      </c>
      <c r="D119" t="str">
        <f>IF(COUNTIF(Vocab!$A$2:$A$10,A119)=0,"ERROR",IF(COUNTIF(Vocab!$B$2:$B$10,B119)=0,"ERROR",IF(B119="RollbackDetected","S5 FAIL_SAFE",IF(A119="S6 TOOL_QUARANTINE","S6 TOOL_QUARANTINE",IFERROR(IF(C119="true",INDEX(Spec12!$B$2:$B$9,MATCH(A119&amp;"|"&amp;B119,Spec12!$A$2:$A$9,0)),INDEX(Spec12!$C$2:$C$9,MATCH(A119&amp;"|"&amp;B119,Spec12!$A$2:$A$9,0))),"ERROR")))))</f>
        <v>S5 FAIL_SAFE</v>
      </c>
    </row>
    <row r="120" spans="1:4" x14ac:dyDescent="0.3">
      <c r="A120" t="s">
        <v>13</v>
      </c>
      <c r="B120" t="s">
        <v>33</v>
      </c>
      <c r="C120" t="s">
        <v>85</v>
      </c>
      <c r="D120" t="str">
        <f>IF(COUNTIF(Vocab!$A$2:$A$10,A120)=0,"ERROR",IF(COUNTIF(Vocab!$B$2:$B$10,B120)=0,"ERROR",IF(B120="RollbackDetected","S5 FAIL_SAFE",IF(A120="S6 TOOL_QUARANTINE","S6 TOOL_QUARANTINE",IFERROR(IF(C120="true",INDEX(Spec12!$B$2:$B$9,MATCH(A120&amp;"|"&amp;B120,Spec12!$A$2:$A$9,0)),INDEX(Spec12!$C$2:$C$9,MATCH(A120&amp;"|"&amp;B120,Spec12!$A$2:$A$9,0))),"ERROR")))))</f>
        <v>S6 TOOL_QUARANTINE</v>
      </c>
    </row>
    <row r="121" spans="1:4" x14ac:dyDescent="0.3">
      <c r="A121" t="s">
        <v>13</v>
      </c>
      <c r="B121" t="s">
        <v>33</v>
      </c>
      <c r="C121" t="s">
        <v>89</v>
      </c>
      <c r="D121" t="str">
        <f>IF(COUNTIF(Vocab!$A$2:$A$10,A121)=0,"ERROR",IF(COUNTIF(Vocab!$B$2:$B$10,B121)=0,"ERROR",IF(B121="RollbackDetected","S5 FAIL_SAFE",IF(A121="S6 TOOL_QUARANTINE","S6 TOOL_QUARANTINE",IFERROR(IF(C121="true",INDEX(Spec12!$B$2:$B$9,MATCH(A121&amp;"|"&amp;B121,Spec12!$A$2:$A$9,0)),INDEX(Spec12!$C$2:$C$9,MATCH(A121&amp;"|"&amp;B121,Spec12!$A$2:$A$9,0))),"ERROR")))))</f>
        <v>S6 TOOL_QUARANTINE</v>
      </c>
    </row>
    <row r="122" spans="1:4" x14ac:dyDescent="0.3">
      <c r="A122" t="s">
        <v>13</v>
      </c>
      <c r="B122" t="s">
        <v>34</v>
      </c>
      <c r="C122" t="s">
        <v>85</v>
      </c>
      <c r="D122" t="str">
        <f>IF(COUNTIF(Vocab!$A$2:$A$10,A122)=0,"ERROR",IF(COUNTIF(Vocab!$B$2:$B$10,B122)=0,"ERROR",IF(B122="RollbackDetected","S5 FAIL_SAFE",IF(A122="S6 TOOL_QUARANTINE","S6 TOOL_QUARANTINE",IFERROR(IF(C122="true",INDEX(Spec12!$B$2:$B$9,MATCH(A122&amp;"|"&amp;B122,Spec12!$A$2:$A$9,0)),INDEX(Spec12!$C$2:$C$9,MATCH(A122&amp;"|"&amp;B122,Spec12!$A$2:$A$9,0))),"ERROR")))))</f>
        <v>S6 TOOL_QUARANTINE</v>
      </c>
    </row>
    <row r="123" spans="1:4" x14ac:dyDescent="0.3">
      <c r="A123" t="s">
        <v>13</v>
      </c>
      <c r="B123" t="s">
        <v>34</v>
      </c>
      <c r="C123" t="s">
        <v>89</v>
      </c>
      <c r="D123" t="str">
        <f>IF(COUNTIF(Vocab!$A$2:$A$10,A123)=0,"ERROR",IF(COUNTIF(Vocab!$B$2:$B$10,B123)=0,"ERROR",IF(B123="RollbackDetected","S5 FAIL_SAFE",IF(A123="S6 TOOL_QUARANTINE","S6 TOOL_QUARANTINE",IFERROR(IF(C123="true",INDEX(Spec12!$B$2:$B$9,MATCH(A123&amp;"|"&amp;B123,Spec12!$A$2:$A$9,0)),INDEX(Spec12!$C$2:$C$9,MATCH(A123&amp;"|"&amp;B123,Spec12!$A$2:$A$9,0))),"ERROR")))))</f>
        <v>S6 TOOL_QUARANTINE</v>
      </c>
    </row>
    <row r="124" spans="1:4" x14ac:dyDescent="0.3">
      <c r="A124" t="s">
        <v>13</v>
      </c>
      <c r="B124" t="s">
        <v>35</v>
      </c>
      <c r="C124" t="s">
        <v>85</v>
      </c>
      <c r="D124" t="str">
        <f>IF(COUNTIF(Vocab!$A$2:$A$10,A124)=0,"ERROR",IF(COUNTIF(Vocab!$B$2:$B$10,B124)=0,"ERROR",IF(B124="RollbackDetected","S5 FAIL_SAFE",IF(A124="S6 TOOL_QUARANTINE","S6 TOOL_QUARANTINE",IFERROR(IF(C124="true",INDEX(Spec12!$B$2:$B$9,MATCH(A124&amp;"|"&amp;B124,Spec12!$A$2:$A$9,0)),INDEX(Spec12!$C$2:$C$9,MATCH(A124&amp;"|"&amp;B124,Spec12!$A$2:$A$9,0))),"ERROR")))))</f>
        <v>S6 TOOL_QUARANTINE</v>
      </c>
    </row>
    <row r="125" spans="1:4" x14ac:dyDescent="0.3">
      <c r="A125" t="s">
        <v>13</v>
      </c>
      <c r="B125" t="s">
        <v>35</v>
      </c>
      <c r="C125" t="s">
        <v>89</v>
      </c>
      <c r="D125" t="str">
        <f>IF(COUNTIF(Vocab!$A$2:$A$10,A125)=0,"ERROR",IF(COUNTIF(Vocab!$B$2:$B$10,B125)=0,"ERROR",IF(B125="RollbackDetected","S5 FAIL_SAFE",IF(A125="S6 TOOL_QUARANTINE","S6 TOOL_QUARANTINE",IFERROR(IF(C125="true",INDEX(Spec12!$B$2:$B$9,MATCH(A125&amp;"|"&amp;B125,Spec12!$A$2:$A$9,0)),INDEX(Spec12!$C$2:$C$9,MATCH(A125&amp;"|"&amp;B125,Spec12!$A$2:$A$9,0))),"ERROR")))))</f>
        <v>S6 TOOL_QUARANTINE</v>
      </c>
    </row>
    <row r="126" spans="1:4" x14ac:dyDescent="0.3">
      <c r="A126" t="s">
        <v>13</v>
      </c>
      <c r="B126" t="s">
        <v>36</v>
      </c>
      <c r="C126" t="s">
        <v>85</v>
      </c>
      <c r="D126" t="str">
        <f>IF(COUNTIF(Vocab!$A$2:$A$10,A126)=0,"ERROR",IF(COUNTIF(Vocab!$B$2:$B$10,B126)=0,"ERROR",IF(B126="RollbackDetected","S5 FAIL_SAFE",IF(A126="S6 TOOL_QUARANTINE","S6 TOOL_QUARANTINE",IFERROR(IF(C126="true",INDEX(Spec12!$B$2:$B$9,MATCH(A126&amp;"|"&amp;B126,Spec12!$A$2:$A$9,0)),INDEX(Spec12!$C$2:$C$9,MATCH(A126&amp;"|"&amp;B126,Spec12!$A$2:$A$9,0))),"ERROR")))))</f>
        <v>S6 TOOL_QUARANTINE</v>
      </c>
    </row>
    <row r="127" spans="1:4" x14ac:dyDescent="0.3">
      <c r="A127" t="s">
        <v>13</v>
      </c>
      <c r="B127" t="s">
        <v>36</v>
      </c>
      <c r="C127" t="s">
        <v>89</v>
      </c>
      <c r="D127" t="str">
        <f>IF(COUNTIF(Vocab!$A$2:$A$10,A127)=0,"ERROR",IF(COUNTIF(Vocab!$B$2:$B$10,B127)=0,"ERROR",IF(B127="RollbackDetected","S5 FAIL_SAFE",IF(A127="S6 TOOL_QUARANTINE","S6 TOOL_QUARANTINE",IFERROR(IF(C127="true",INDEX(Spec12!$B$2:$B$9,MATCH(A127&amp;"|"&amp;B127,Spec12!$A$2:$A$9,0)),INDEX(Spec12!$C$2:$C$9,MATCH(A127&amp;"|"&amp;B127,Spec12!$A$2:$A$9,0))),"ERROR")))))</f>
        <v>S6 TOOL_QUARANTINE</v>
      </c>
    </row>
    <row r="128" spans="1:4" x14ac:dyDescent="0.3">
      <c r="A128" t="s">
        <v>15</v>
      </c>
      <c r="B128" t="s">
        <v>23</v>
      </c>
      <c r="C128" t="s">
        <v>85</v>
      </c>
      <c r="D128" t="str">
        <f>IF(COUNTIF(Vocab!$A$2:$A$10,A128)=0,"ERROR",IF(COUNTIF(Vocab!$B$2:$B$10,B128)=0,"ERROR",IF(B128="RollbackDetected","S5 FAIL_SAFE",IF(A128="S6 TOOL_QUARANTINE","S6 TOOL_QUARANTINE",IFERROR(IF(C128="true",INDEX(Spec12!$B$2:$B$9,MATCH(A128&amp;"|"&amp;B128,Spec12!$A$2:$A$9,0)),INDEX(Spec12!$C$2:$C$9,MATCH(A128&amp;"|"&amp;B128,Spec12!$A$2:$A$9,0))),"ERROR")))))</f>
        <v>ERROR</v>
      </c>
    </row>
    <row r="129" spans="1:4" x14ac:dyDescent="0.3">
      <c r="A129" t="s">
        <v>15</v>
      </c>
      <c r="B129" t="s">
        <v>23</v>
      </c>
      <c r="C129" t="s">
        <v>89</v>
      </c>
      <c r="D129" t="str">
        <f>IF(COUNTIF(Vocab!$A$2:$A$10,A129)=0,"ERROR",IF(COUNTIF(Vocab!$B$2:$B$10,B129)=0,"ERROR",IF(B129="RollbackDetected","S5 FAIL_SAFE",IF(A129="S6 TOOL_QUARANTINE","S6 TOOL_QUARANTINE",IFERROR(IF(C129="true",INDEX(Spec12!$B$2:$B$9,MATCH(A129&amp;"|"&amp;B129,Spec12!$A$2:$A$9,0)),INDEX(Spec12!$C$2:$C$9,MATCH(A129&amp;"|"&amp;B129,Spec12!$A$2:$A$9,0))),"ERROR")))))</f>
        <v>ERROR</v>
      </c>
    </row>
    <row r="130" spans="1:4" x14ac:dyDescent="0.3">
      <c r="A130" t="s">
        <v>15</v>
      </c>
      <c r="B130" t="s">
        <v>25</v>
      </c>
      <c r="C130" t="s">
        <v>85</v>
      </c>
      <c r="D130" t="str">
        <f>IF(COUNTIF(Vocab!$A$2:$A$10,A130)=0,"ERROR",IF(COUNTIF(Vocab!$B$2:$B$10,B130)=0,"ERROR",IF(B130="RollbackDetected","S5 FAIL_SAFE",IF(A130="S6 TOOL_QUARANTINE","S6 TOOL_QUARANTINE",IFERROR(IF(C130="true",INDEX(Spec12!$B$2:$B$9,MATCH(A130&amp;"|"&amp;B130,Spec12!$A$2:$A$9,0)),INDEX(Spec12!$C$2:$C$9,MATCH(A130&amp;"|"&amp;B130,Spec12!$A$2:$A$9,0))),"ERROR")))))</f>
        <v>ERROR</v>
      </c>
    </row>
    <row r="131" spans="1:4" x14ac:dyDescent="0.3">
      <c r="A131" t="s">
        <v>15</v>
      </c>
      <c r="B131" t="s">
        <v>25</v>
      </c>
      <c r="C131" t="s">
        <v>89</v>
      </c>
      <c r="D131" t="str">
        <f>IF(COUNTIF(Vocab!$A$2:$A$10,A131)=0,"ERROR",IF(COUNTIF(Vocab!$B$2:$B$10,B131)=0,"ERROR",IF(B131="RollbackDetected","S5 FAIL_SAFE",IF(A131="S6 TOOL_QUARANTINE","S6 TOOL_QUARANTINE",IFERROR(IF(C131="true",INDEX(Spec12!$B$2:$B$9,MATCH(A131&amp;"|"&amp;B131,Spec12!$A$2:$A$9,0)),INDEX(Spec12!$C$2:$C$9,MATCH(A131&amp;"|"&amp;B131,Spec12!$A$2:$A$9,0))),"ERROR")))))</f>
        <v>ERROR</v>
      </c>
    </row>
    <row r="132" spans="1:4" x14ac:dyDescent="0.3">
      <c r="A132" t="s">
        <v>15</v>
      </c>
      <c r="B132" t="s">
        <v>27</v>
      </c>
      <c r="C132" t="s">
        <v>85</v>
      </c>
      <c r="D132" t="str">
        <f>IF(COUNTIF(Vocab!$A$2:$A$10,A132)=0,"ERROR",IF(COUNTIF(Vocab!$B$2:$B$10,B132)=0,"ERROR",IF(B132="RollbackDetected","S5 FAIL_SAFE",IF(A132="S6 TOOL_QUARANTINE","S6 TOOL_QUARANTINE",IFERROR(IF(C132="true",INDEX(Spec12!$B$2:$B$9,MATCH(A132&amp;"|"&amp;B132,Spec12!$A$2:$A$9,0)),INDEX(Spec12!$C$2:$C$9,MATCH(A132&amp;"|"&amp;B132,Spec12!$A$2:$A$9,0))),"ERROR")))))</f>
        <v>ERROR</v>
      </c>
    </row>
    <row r="133" spans="1:4" x14ac:dyDescent="0.3">
      <c r="A133" t="s">
        <v>15</v>
      </c>
      <c r="B133" t="s">
        <v>27</v>
      </c>
      <c r="C133" t="s">
        <v>89</v>
      </c>
      <c r="D133" t="str">
        <f>IF(COUNTIF(Vocab!$A$2:$A$10,A133)=0,"ERROR",IF(COUNTIF(Vocab!$B$2:$B$10,B133)=0,"ERROR",IF(B133="RollbackDetected","S5 FAIL_SAFE",IF(A133="S6 TOOL_QUARANTINE","S6 TOOL_QUARANTINE",IFERROR(IF(C133="true",INDEX(Spec12!$B$2:$B$9,MATCH(A133&amp;"|"&amp;B133,Spec12!$A$2:$A$9,0)),INDEX(Spec12!$C$2:$C$9,MATCH(A133&amp;"|"&amp;B133,Spec12!$A$2:$A$9,0))),"ERROR")))))</f>
        <v>ERROR</v>
      </c>
    </row>
    <row r="134" spans="1:4" x14ac:dyDescent="0.3">
      <c r="A134" t="s">
        <v>15</v>
      </c>
      <c r="B134" t="s">
        <v>29</v>
      </c>
      <c r="C134" t="s">
        <v>85</v>
      </c>
      <c r="D134" t="str">
        <f>IF(COUNTIF(Vocab!$A$2:$A$10,A134)=0,"ERROR",IF(COUNTIF(Vocab!$B$2:$B$10,B134)=0,"ERROR",IF(B134="RollbackDetected","S5 FAIL_SAFE",IF(A134="S6 TOOL_QUARANTINE","S6 TOOL_QUARANTINE",IFERROR(IF(C134="true",INDEX(Spec12!$B$2:$B$9,MATCH(A134&amp;"|"&amp;B134,Spec12!$A$2:$A$9,0)),INDEX(Spec12!$C$2:$C$9,MATCH(A134&amp;"|"&amp;B134,Spec12!$A$2:$A$9,0))),"ERROR")))))</f>
        <v>ERROR</v>
      </c>
    </row>
    <row r="135" spans="1:4" x14ac:dyDescent="0.3">
      <c r="A135" t="s">
        <v>15</v>
      </c>
      <c r="B135" t="s">
        <v>29</v>
      </c>
      <c r="C135" t="s">
        <v>89</v>
      </c>
      <c r="D135" t="str">
        <f>IF(COUNTIF(Vocab!$A$2:$A$10,A135)=0,"ERROR",IF(COUNTIF(Vocab!$B$2:$B$10,B135)=0,"ERROR",IF(B135="RollbackDetected","S5 FAIL_SAFE",IF(A135="S6 TOOL_QUARANTINE","S6 TOOL_QUARANTINE",IFERROR(IF(C135="true",INDEX(Spec12!$B$2:$B$9,MATCH(A135&amp;"|"&amp;B135,Spec12!$A$2:$A$9,0)),INDEX(Spec12!$C$2:$C$9,MATCH(A135&amp;"|"&amp;B135,Spec12!$A$2:$A$9,0))),"ERROR")))))</f>
        <v>ERROR</v>
      </c>
    </row>
    <row r="136" spans="1:4" x14ac:dyDescent="0.3">
      <c r="A136" t="s">
        <v>15</v>
      </c>
      <c r="B136" t="s">
        <v>31</v>
      </c>
      <c r="C136" t="s">
        <v>85</v>
      </c>
      <c r="D136" t="str">
        <f>IF(COUNTIF(Vocab!$A$2:$A$10,A136)=0,"ERROR",IF(COUNTIF(Vocab!$B$2:$B$10,B136)=0,"ERROR",IF(B136="RollbackDetected","S5 FAIL_SAFE",IF(A136="S6 TOOL_QUARANTINE","S6 TOOL_QUARANTINE",IFERROR(IF(C136="true",INDEX(Spec12!$B$2:$B$9,MATCH(A136&amp;"|"&amp;B136,Spec12!$A$2:$A$9,0)),INDEX(Spec12!$C$2:$C$9,MATCH(A136&amp;"|"&amp;B136,Spec12!$A$2:$A$9,0))),"ERROR")))))</f>
        <v>S5 FAIL_SAFE</v>
      </c>
    </row>
    <row r="137" spans="1:4" x14ac:dyDescent="0.3">
      <c r="A137" t="s">
        <v>15</v>
      </c>
      <c r="B137" t="s">
        <v>31</v>
      </c>
      <c r="C137" t="s">
        <v>89</v>
      </c>
      <c r="D137" t="str">
        <f>IF(COUNTIF(Vocab!$A$2:$A$10,A137)=0,"ERROR",IF(COUNTIF(Vocab!$B$2:$B$10,B137)=0,"ERROR",IF(B137="RollbackDetected","S5 FAIL_SAFE",IF(A137="S6 TOOL_QUARANTINE","S6 TOOL_QUARANTINE",IFERROR(IF(C137="true",INDEX(Spec12!$B$2:$B$9,MATCH(A137&amp;"|"&amp;B137,Spec12!$A$2:$A$9,0)),INDEX(Spec12!$C$2:$C$9,MATCH(A137&amp;"|"&amp;B137,Spec12!$A$2:$A$9,0))),"ERROR")))))</f>
        <v>S5 FAIL_SAFE</v>
      </c>
    </row>
    <row r="138" spans="1:4" x14ac:dyDescent="0.3">
      <c r="A138" t="s">
        <v>15</v>
      </c>
      <c r="B138" t="s">
        <v>33</v>
      </c>
      <c r="C138" t="s">
        <v>85</v>
      </c>
      <c r="D138" t="str">
        <f>IF(COUNTIF(Vocab!$A$2:$A$10,A138)=0,"ERROR",IF(COUNTIF(Vocab!$B$2:$B$10,B138)=0,"ERROR",IF(B138="RollbackDetected","S5 FAIL_SAFE",IF(A138="S6 TOOL_QUARANTINE","S6 TOOL_QUARANTINE",IFERROR(IF(C138="true",INDEX(Spec12!$B$2:$B$9,MATCH(A138&amp;"|"&amp;B138,Spec12!$A$2:$A$9,0)),INDEX(Spec12!$C$2:$C$9,MATCH(A138&amp;"|"&amp;B138,Spec12!$A$2:$A$9,0))),"ERROR")))))</f>
        <v>ERROR</v>
      </c>
    </row>
    <row r="139" spans="1:4" x14ac:dyDescent="0.3">
      <c r="A139" t="s">
        <v>15</v>
      </c>
      <c r="B139" t="s">
        <v>33</v>
      </c>
      <c r="C139" t="s">
        <v>89</v>
      </c>
      <c r="D139" t="str">
        <f>IF(COUNTIF(Vocab!$A$2:$A$10,A139)=0,"ERROR",IF(COUNTIF(Vocab!$B$2:$B$10,B139)=0,"ERROR",IF(B139="RollbackDetected","S5 FAIL_SAFE",IF(A139="S6 TOOL_QUARANTINE","S6 TOOL_QUARANTINE",IFERROR(IF(C139="true",INDEX(Spec12!$B$2:$B$9,MATCH(A139&amp;"|"&amp;B139,Spec12!$A$2:$A$9,0)),INDEX(Spec12!$C$2:$C$9,MATCH(A139&amp;"|"&amp;B139,Spec12!$A$2:$A$9,0))),"ERROR")))))</f>
        <v>ERROR</v>
      </c>
    </row>
    <row r="140" spans="1:4" x14ac:dyDescent="0.3">
      <c r="A140" t="s">
        <v>15</v>
      </c>
      <c r="B140" t="s">
        <v>34</v>
      </c>
      <c r="C140" t="s">
        <v>85</v>
      </c>
      <c r="D140" t="str">
        <f>IF(COUNTIF(Vocab!$A$2:$A$10,A140)=0,"ERROR",IF(COUNTIF(Vocab!$B$2:$B$10,B140)=0,"ERROR",IF(B140="RollbackDetected","S5 FAIL_SAFE",IF(A140="S6 TOOL_QUARANTINE","S6 TOOL_QUARANTINE",IFERROR(IF(C140="true",INDEX(Spec12!$B$2:$B$9,MATCH(A140&amp;"|"&amp;B140,Spec12!$A$2:$A$9,0)),INDEX(Spec12!$C$2:$C$9,MATCH(A140&amp;"|"&amp;B140,Spec12!$A$2:$A$9,0))),"ERROR")))))</f>
        <v>ERROR</v>
      </c>
    </row>
    <row r="141" spans="1:4" x14ac:dyDescent="0.3">
      <c r="A141" t="s">
        <v>15</v>
      </c>
      <c r="B141" t="s">
        <v>34</v>
      </c>
      <c r="C141" t="s">
        <v>89</v>
      </c>
      <c r="D141" t="str">
        <f>IF(COUNTIF(Vocab!$A$2:$A$10,A141)=0,"ERROR",IF(COUNTIF(Vocab!$B$2:$B$10,B141)=0,"ERROR",IF(B141="RollbackDetected","S5 FAIL_SAFE",IF(A141="S6 TOOL_QUARANTINE","S6 TOOL_QUARANTINE",IFERROR(IF(C141="true",INDEX(Spec12!$B$2:$B$9,MATCH(A141&amp;"|"&amp;B141,Spec12!$A$2:$A$9,0)),INDEX(Spec12!$C$2:$C$9,MATCH(A141&amp;"|"&amp;B141,Spec12!$A$2:$A$9,0))),"ERROR")))))</f>
        <v>ERROR</v>
      </c>
    </row>
    <row r="142" spans="1:4" x14ac:dyDescent="0.3">
      <c r="A142" t="s">
        <v>15</v>
      </c>
      <c r="B142" t="s">
        <v>35</v>
      </c>
      <c r="C142" t="s">
        <v>85</v>
      </c>
      <c r="D142" t="str">
        <f>IF(COUNTIF(Vocab!$A$2:$A$10,A142)=0,"ERROR",IF(COUNTIF(Vocab!$B$2:$B$10,B142)=0,"ERROR",IF(B142="RollbackDetected","S5 FAIL_SAFE",IF(A142="S6 TOOL_QUARANTINE","S6 TOOL_QUARANTINE",IFERROR(IF(C142="true",INDEX(Spec12!$B$2:$B$9,MATCH(A142&amp;"|"&amp;B142,Spec12!$A$2:$A$9,0)),INDEX(Spec12!$C$2:$C$9,MATCH(A142&amp;"|"&amp;B142,Spec12!$A$2:$A$9,0))),"ERROR")))))</f>
        <v>S8 READMISSION_PENDING</v>
      </c>
    </row>
    <row r="143" spans="1:4" x14ac:dyDescent="0.3">
      <c r="A143" t="s">
        <v>15</v>
      </c>
      <c r="B143" t="s">
        <v>35</v>
      </c>
      <c r="C143" t="s">
        <v>89</v>
      </c>
      <c r="D143" t="str">
        <f>IF(COUNTIF(Vocab!$A$2:$A$10,A143)=0,"ERROR",IF(COUNTIF(Vocab!$B$2:$B$10,B143)=0,"ERROR",IF(B143="RollbackDetected","S5 FAIL_SAFE",IF(A143="S6 TOOL_QUARANTINE","S6 TOOL_QUARANTINE",IFERROR(IF(C143="true",INDEX(Spec12!$B$2:$B$9,MATCH(A143&amp;"|"&amp;B143,Spec12!$A$2:$A$9,0)),INDEX(Spec12!$C$2:$C$9,MATCH(A143&amp;"|"&amp;B143,Spec12!$A$2:$A$9,0))),"ERROR")))))</f>
        <v>S5 FAIL_SAFE</v>
      </c>
    </row>
    <row r="144" spans="1:4" x14ac:dyDescent="0.3">
      <c r="A144" t="s">
        <v>15</v>
      </c>
      <c r="B144" t="s">
        <v>36</v>
      </c>
      <c r="C144" t="s">
        <v>85</v>
      </c>
      <c r="D144" t="str">
        <f>IF(COUNTIF(Vocab!$A$2:$A$10,A144)=0,"ERROR",IF(COUNTIF(Vocab!$B$2:$B$10,B144)=0,"ERROR",IF(B144="RollbackDetected","S5 FAIL_SAFE",IF(A144="S6 TOOL_QUARANTINE","S6 TOOL_QUARANTINE",IFERROR(IF(C144="true",INDEX(Spec12!$B$2:$B$9,MATCH(A144&amp;"|"&amp;B144,Spec12!$A$2:$A$9,0)),INDEX(Spec12!$C$2:$C$9,MATCH(A144&amp;"|"&amp;B144,Spec12!$A$2:$A$9,0))),"ERROR")))))</f>
        <v>ERROR</v>
      </c>
    </row>
    <row r="145" spans="1:4" x14ac:dyDescent="0.3">
      <c r="A145" t="s">
        <v>15</v>
      </c>
      <c r="B145" t="s">
        <v>36</v>
      </c>
      <c r="C145" t="s">
        <v>89</v>
      </c>
      <c r="D145" t="str">
        <f>IF(COUNTIF(Vocab!$A$2:$A$10,A145)=0,"ERROR",IF(COUNTIF(Vocab!$B$2:$B$10,B145)=0,"ERROR",IF(B145="RollbackDetected","S5 FAIL_SAFE",IF(A145="S6 TOOL_QUARANTINE","S6 TOOL_QUARANTINE",IFERROR(IF(C145="true",INDEX(Spec12!$B$2:$B$9,MATCH(A145&amp;"|"&amp;B145,Spec12!$A$2:$A$9,0)),INDEX(Spec12!$C$2:$C$9,MATCH(A145&amp;"|"&amp;B145,Spec12!$A$2:$A$9,0))),"ERROR")))))</f>
        <v>ERROR</v>
      </c>
    </row>
    <row r="146" spans="1:4" x14ac:dyDescent="0.3">
      <c r="A146" t="s">
        <v>17</v>
      </c>
      <c r="B146" t="s">
        <v>23</v>
      </c>
      <c r="C146" t="s">
        <v>85</v>
      </c>
      <c r="D146" t="str">
        <f>IF(COUNTIF(Vocab!$A$2:$A$10,A146)=0,"ERROR",IF(COUNTIF(Vocab!$B$2:$B$10,B146)=0,"ERROR",IF(B146="RollbackDetected","S5 FAIL_SAFE",IF(A146="S6 TOOL_QUARANTINE","S6 TOOL_QUARANTINE",IFERROR(IF(C146="true",INDEX(Spec12!$B$2:$B$9,MATCH(A146&amp;"|"&amp;B146,Spec12!$A$2:$A$9,0)),INDEX(Spec12!$C$2:$C$9,MATCH(A146&amp;"|"&amp;B146,Spec12!$A$2:$A$9,0))),"ERROR")))))</f>
        <v>ERROR</v>
      </c>
    </row>
    <row r="147" spans="1:4" x14ac:dyDescent="0.3">
      <c r="A147" t="s">
        <v>17</v>
      </c>
      <c r="B147" t="s">
        <v>23</v>
      </c>
      <c r="C147" t="s">
        <v>89</v>
      </c>
      <c r="D147" t="str">
        <f>IF(COUNTIF(Vocab!$A$2:$A$10,A147)=0,"ERROR",IF(COUNTIF(Vocab!$B$2:$B$10,B147)=0,"ERROR",IF(B147="RollbackDetected","S5 FAIL_SAFE",IF(A147="S6 TOOL_QUARANTINE","S6 TOOL_QUARANTINE",IFERROR(IF(C147="true",INDEX(Spec12!$B$2:$B$9,MATCH(A147&amp;"|"&amp;B147,Spec12!$A$2:$A$9,0)),INDEX(Spec12!$C$2:$C$9,MATCH(A147&amp;"|"&amp;B147,Spec12!$A$2:$A$9,0))),"ERROR")))))</f>
        <v>ERROR</v>
      </c>
    </row>
    <row r="148" spans="1:4" x14ac:dyDescent="0.3">
      <c r="A148" t="s">
        <v>17</v>
      </c>
      <c r="B148" t="s">
        <v>25</v>
      </c>
      <c r="C148" t="s">
        <v>85</v>
      </c>
      <c r="D148" t="str">
        <f>IF(COUNTIF(Vocab!$A$2:$A$10,A148)=0,"ERROR",IF(COUNTIF(Vocab!$B$2:$B$10,B148)=0,"ERROR",IF(B148="RollbackDetected","S5 FAIL_SAFE",IF(A148="S6 TOOL_QUARANTINE","S6 TOOL_QUARANTINE",IFERROR(IF(C148="true",INDEX(Spec12!$B$2:$B$9,MATCH(A148&amp;"|"&amp;B148,Spec12!$A$2:$A$9,0)),INDEX(Spec12!$C$2:$C$9,MATCH(A148&amp;"|"&amp;B148,Spec12!$A$2:$A$9,0))),"ERROR")))))</f>
        <v>ERROR</v>
      </c>
    </row>
    <row r="149" spans="1:4" x14ac:dyDescent="0.3">
      <c r="A149" t="s">
        <v>17</v>
      </c>
      <c r="B149" t="s">
        <v>25</v>
      </c>
      <c r="C149" t="s">
        <v>89</v>
      </c>
      <c r="D149" t="str">
        <f>IF(COUNTIF(Vocab!$A$2:$A$10,A149)=0,"ERROR",IF(COUNTIF(Vocab!$B$2:$B$10,B149)=0,"ERROR",IF(B149="RollbackDetected","S5 FAIL_SAFE",IF(A149="S6 TOOL_QUARANTINE","S6 TOOL_QUARANTINE",IFERROR(IF(C149="true",INDEX(Spec12!$B$2:$B$9,MATCH(A149&amp;"|"&amp;B149,Spec12!$A$2:$A$9,0)),INDEX(Spec12!$C$2:$C$9,MATCH(A149&amp;"|"&amp;B149,Spec12!$A$2:$A$9,0))),"ERROR")))))</f>
        <v>ERROR</v>
      </c>
    </row>
    <row r="150" spans="1:4" x14ac:dyDescent="0.3">
      <c r="A150" t="s">
        <v>17</v>
      </c>
      <c r="B150" t="s">
        <v>27</v>
      </c>
      <c r="C150" t="s">
        <v>85</v>
      </c>
      <c r="D150" t="str">
        <f>IF(COUNTIF(Vocab!$A$2:$A$10,A150)=0,"ERROR",IF(COUNTIF(Vocab!$B$2:$B$10,B150)=0,"ERROR",IF(B150="RollbackDetected","S5 FAIL_SAFE",IF(A150="S6 TOOL_QUARANTINE","S6 TOOL_QUARANTINE",IFERROR(IF(C150="true",INDEX(Spec12!$B$2:$B$9,MATCH(A150&amp;"|"&amp;B150,Spec12!$A$2:$A$9,0)),INDEX(Spec12!$C$2:$C$9,MATCH(A150&amp;"|"&amp;B150,Spec12!$A$2:$A$9,0))),"ERROR")))))</f>
        <v>ERROR</v>
      </c>
    </row>
    <row r="151" spans="1:4" x14ac:dyDescent="0.3">
      <c r="A151" t="s">
        <v>17</v>
      </c>
      <c r="B151" t="s">
        <v>27</v>
      </c>
      <c r="C151" t="s">
        <v>89</v>
      </c>
      <c r="D151" t="str">
        <f>IF(COUNTIF(Vocab!$A$2:$A$10,A151)=0,"ERROR",IF(COUNTIF(Vocab!$B$2:$B$10,B151)=0,"ERROR",IF(B151="RollbackDetected","S5 FAIL_SAFE",IF(A151="S6 TOOL_QUARANTINE","S6 TOOL_QUARANTINE",IFERROR(IF(C151="true",INDEX(Spec12!$B$2:$B$9,MATCH(A151&amp;"|"&amp;B151,Spec12!$A$2:$A$9,0)),INDEX(Spec12!$C$2:$C$9,MATCH(A151&amp;"|"&amp;B151,Spec12!$A$2:$A$9,0))),"ERROR")))))</f>
        <v>ERROR</v>
      </c>
    </row>
    <row r="152" spans="1:4" x14ac:dyDescent="0.3">
      <c r="A152" t="s">
        <v>17</v>
      </c>
      <c r="B152" t="s">
        <v>29</v>
      </c>
      <c r="C152" t="s">
        <v>85</v>
      </c>
      <c r="D152" t="str">
        <f>IF(COUNTIF(Vocab!$A$2:$A$10,A152)=0,"ERROR",IF(COUNTIF(Vocab!$B$2:$B$10,B152)=0,"ERROR",IF(B152="RollbackDetected","S5 FAIL_SAFE",IF(A152="S6 TOOL_QUARANTINE","S6 TOOL_QUARANTINE",IFERROR(IF(C152="true",INDEX(Spec12!$B$2:$B$9,MATCH(A152&amp;"|"&amp;B152,Spec12!$A$2:$A$9,0)),INDEX(Spec12!$C$2:$C$9,MATCH(A152&amp;"|"&amp;B152,Spec12!$A$2:$A$9,0))),"ERROR")))))</f>
        <v>ERROR</v>
      </c>
    </row>
    <row r="153" spans="1:4" x14ac:dyDescent="0.3">
      <c r="A153" t="s">
        <v>17</v>
      </c>
      <c r="B153" t="s">
        <v>29</v>
      </c>
      <c r="C153" t="s">
        <v>89</v>
      </c>
      <c r="D153" t="str">
        <f>IF(COUNTIF(Vocab!$A$2:$A$10,A153)=0,"ERROR",IF(COUNTIF(Vocab!$B$2:$B$10,B153)=0,"ERROR",IF(B153="RollbackDetected","S5 FAIL_SAFE",IF(A153="S6 TOOL_QUARANTINE","S6 TOOL_QUARANTINE",IFERROR(IF(C153="true",INDEX(Spec12!$B$2:$B$9,MATCH(A153&amp;"|"&amp;B153,Spec12!$A$2:$A$9,0)),INDEX(Spec12!$C$2:$C$9,MATCH(A153&amp;"|"&amp;B153,Spec12!$A$2:$A$9,0))),"ERROR")))))</f>
        <v>ERROR</v>
      </c>
    </row>
    <row r="154" spans="1:4" x14ac:dyDescent="0.3">
      <c r="A154" t="s">
        <v>17</v>
      </c>
      <c r="B154" t="s">
        <v>31</v>
      </c>
      <c r="C154" t="s">
        <v>85</v>
      </c>
      <c r="D154" t="str">
        <f>IF(COUNTIF(Vocab!$A$2:$A$10,A154)=0,"ERROR",IF(COUNTIF(Vocab!$B$2:$B$10,B154)=0,"ERROR",IF(B154="RollbackDetected","S5 FAIL_SAFE",IF(A154="S6 TOOL_QUARANTINE","S6 TOOL_QUARANTINE",IFERROR(IF(C154="true",INDEX(Spec12!$B$2:$B$9,MATCH(A154&amp;"|"&amp;B154,Spec12!$A$2:$A$9,0)),INDEX(Spec12!$C$2:$C$9,MATCH(A154&amp;"|"&amp;B154,Spec12!$A$2:$A$9,0))),"ERROR")))))</f>
        <v>S5 FAIL_SAFE</v>
      </c>
    </row>
    <row r="155" spans="1:4" x14ac:dyDescent="0.3">
      <c r="A155" t="s">
        <v>17</v>
      </c>
      <c r="B155" t="s">
        <v>31</v>
      </c>
      <c r="C155" t="s">
        <v>89</v>
      </c>
      <c r="D155" t="str">
        <f>IF(COUNTIF(Vocab!$A$2:$A$10,A155)=0,"ERROR",IF(COUNTIF(Vocab!$B$2:$B$10,B155)=0,"ERROR",IF(B155="RollbackDetected","S5 FAIL_SAFE",IF(A155="S6 TOOL_QUARANTINE","S6 TOOL_QUARANTINE",IFERROR(IF(C155="true",INDEX(Spec12!$B$2:$B$9,MATCH(A155&amp;"|"&amp;B155,Spec12!$A$2:$A$9,0)),INDEX(Spec12!$C$2:$C$9,MATCH(A155&amp;"|"&amp;B155,Spec12!$A$2:$A$9,0))),"ERROR")))))</f>
        <v>S5 FAIL_SAFE</v>
      </c>
    </row>
    <row r="156" spans="1:4" x14ac:dyDescent="0.3">
      <c r="A156" t="s">
        <v>17</v>
      </c>
      <c r="B156" t="s">
        <v>33</v>
      </c>
      <c r="C156" t="s">
        <v>85</v>
      </c>
      <c r="D156" t="str">
        <f>IF(COUNTIF(Vocab!$A$2:$A$10,A156)=0,"ERROR",IF(COUNTIF(Vocab!$B$2:$B$10,B156)=0,"ERROR",IF(B156="RollbackDetected","S5 FAIL_SAFE",IF(A156="S6 TOOL_QUARANTINE","S6 TOOL_QUARANTINE",IFERROR(IF(C156="true",INDEX(Spec12!$B$2:$B$9,MATCH(A156&amp;"|"&amp;B156,Spec12!$A$2:$A$9,0)),INDEX(Spec12!$C$2:$C$9,MATCH(A156&amp;"|"&amp;B156,Spec12!$A$2:$A$9,0))),"ERROR")))))</f>
        <v>ERROR</v>
      </c>
    </row>
    <row r="157" spans="1:4" x14ac:dyDescent="0.3">
      <c r="A157" t="s">
        <v>17</v>
      </c>
      <c r="B157" t="s">
        <v>33</v>
      </c>
      <c r="C157" t="s">
        <v>89</v>
      </c>
      <c r="D157" t="str">
        <f>IF(COUNTIF(Vocab!$A$2:$A$10,A157)=0,"ERROR",IF(COUNTIF(Vocab!$B$2:$B$10,B157)=0,"ERROR",IF(B157="RollbackDetected","S5 FAIL_SAFE",IF(A157="S6 TOOL_QUARANTINE","S6 TOOL_QUARANTINE",IFERROR(IF(C157="true",INDEX(Spec12!$B$2:$B$9,MATCH(A157&amp;"|"&amp;B157,Spec12!$A$2:$A$9,0)),INDEX(Spec12!$C$2:$C$9,MATCH(A157&amp;"|"&amp;B157,Spec12!$A$2:$A$9,0))),"ERROR")))))</f>
        <v>ERROR</v>
      </c>
    </row>
    <row r="158" spans="1:4" x14ac:dyDescent="0.3">
      <c r="A158" t="s">
        <v>17</v>
      </c>
      <c r="B158" t="s">
        <v>34</v>
      </c>
      <c r="C158" t="s">
        <v>85</v>
      </c>
      <c r="D158" t="str">
        <f>IF(COUNTIF(Vocab!$A$2:$A$10,A158)=0,"ERROR",IF(COUNTIF(Vocab!$B$2:$B$10,B158)=0,"ERROR",IF(B158="RollbackDetected","S5 FAIL_SAFE",IF(A158="S6 TOOL_QUARANTINE","S6 TOOL_QUARANTINE",IFERROR(IF(C158="true",INDEX(Spec12!$B$2:$B$9,MATCH(A158&amp;"|"&amp;B158,Spec12!$A$2:$A$9,0)),INDEX(Spec12!$C$2:$C$9,MATCH(A158&amp;"|"&amp;B158,Spec12!$A$2:$A$9,0))),"ERROR")))))</f>
        <v>ERROR</v>
      </c>
    </row>
    <row r="159" spans="1:4" x14ac:dyDescent="0.3">
      <c r="A159" t="s">
        <v>17</v>
      </c>
      <c r="B159" t="s">
        <v>34</v>
      </c>
      <c r="C159" t="s">
        <v>89</v>
      </c>
      <c r="D159" t="str">
        <f>IF(COUNTIF(Vocab!$A$2:$A$10,A159)=0,"ERROR",IF(COUNTIF(Vocab!$B$2:$B$10,B159)=0,"ERROR",IF(B159="RollbackDetected","S5 FAIL_SAFE",IF(A159="S6 TOOL_QUARANTINE","S6 TOOL_QUARANTINE",IFERROR(IF(C159="true",INDEX(Spec12!$B$2:$B$9,MATCH(A159&amp;"|"&amp;B159,Spec12!$A$2:$A$9,0)),INDEX(Spec12!$C$2:$C$9,MATCH(A159&amp;"|"&amp;B159,Spec12!$A$2:$A$9,0))),"ERROR")))))</f>
        <v>ERROR</v>
      </c>
    </row>
    <row r="160" spans="1:4" x14ac:dyDescent="0.3">
      <c r="A160" t="s">
        <v>17</v>
      </c>
      <c r="B160" t="s">
        <v>35</v>
      </c>
      <c r="C160" t="s">
        <v>85</v>
      </c>
      <c r="D160" t="str">
        <f>IF(COUNTIF(Vocab!$A$2:$A$10,A160)=0,"ERROR",IF(COUNTIF(Vocab!$B$2:$B$10,B160)=0,"ERROR",IF(B160="RollbackDetected","S5 FAIL_SAFE",IF(A160="S6 TOOL_QUARANTINE","S6 TOOL_QUARANTINE",IFERROR(IF(C160="true",INDEX(Spec12!$B$2:$B$9,MATCH(A160&amp;"|"&amp;B160,Spec12!$A$2:$A$9,0)),INDEX(Spec12!$C$2:$C$9,MATCH(A160&amp;"|"&amp;B160,Spec12!$A$2:$A$9,0))),"ERROR")))))</f>
        <v>ERROR</v>
      </c>
    </row>
    <row r="161" spans="1:4" x14ac:dyDescent="0.3">
      <c r="A161" t="s">
        <v>17</v>
      </c>
      <c r="B161" t="s">
        <v>35</v>
      </c>
      <c r="C161" t="s">
        <v>89</v>
      </c>
      <c r="D161" t="str">
        <f>IF(COUNTIF(Vocab!$A$2:$A$10,A161)=0,"ERROR",IF(COUNTIF(Vocab!$B$2:$B$10,B161)=0,"ERROR",IF(B161="RollbackDetected","S5 FAIL_SAFE",IF(A161="S6 TOOL_QUARANTINE","S6 TOOL_QUARANTINE",IFERROR(IF(C161="true",INDEX(Spec12!$B$2:$B$9,MATCH(A161&amp;"|"&amp;B161,Spec12!$A$2:$A$9,0)),INDEX(Spec12!$C$2:$C$9,MATCH(A161&amp;"|"&amp;B161,Spec12!$A$2:$A$9,0))),"ERROR")))))</f>
        <v>ERROR</v>
      </c>
    </row>
    <row r="162" spans="1:4" x14ac:dyDescent="0.3">
      <c r="A162" t="s">
        <v>17</v>
      </c>
      <c r="B162" t="s">
        <v>36</v>
      </c>
      <c r="C162" t="s">
        <v>85</v>
      </c>
      <c r="D162" t="str">
        <f>IF(COUNTIF(Vocab!$A$2:$A$10,A162)=0,"ERROR",IF(COUNTIF(Vocab!$B$2:$B$10,B162)=0,"ERROR",IF(B162="RollbackDetected","S5 FAIL_SAFE",IF(A162="S6 TOOL_QUARANTINE","S6 TOOL_QUARANTINE",IFERROR(IF(C162="true",INDEX(Spec12!$B$2:$B$9,MATCH(A162&amp;"|"&amp;B162,Spec12!$A$2:$A$9,0)),INDEX(Spec12!$C$2:$C$9,MATCH(A162&amp;"|"&amp;B162,Spec12!$A$2:$A$9,0))),"ERROR")))))</f>
        <v>S0 STARTUP_READONLY</v>
      </c>
    </row>
    <row r="163" spans="1:4" x14ac:dyDescent="0.3">
      <c r="A163" t="s">
        <v>17</v>
      </c>
      <c r="B163" t="s">
        <v>36</v>
      </c>
      <c r="C163" t="s">
        <v>89</v>
      </c>
      <c r="D163" t="str">
        <f>IF(COUNTIF(Vocab!$A$2:$A$10,A163)=0,"ERROR",IF(COUNTIF(Vocab!$B$2:$B$10,B163)=0,"ERROR",IF(B163="RollbackDetected","S5 FAIL_SAFE",IF(A163="S6 TOOL_QUARANTINE","S6 TOOL_QUARANTINE",IFERROR(IF(C163="true",INDEX(Spec12!$B$2:$B$9,MATCH(A163&amp;"|"&amp;B163,Spec12!$A$2:$A$9,0)),INDEX(Spec12!$C$2:$C$9,MATCH(A163&amp;"|"&amp;B163,Spec12!$A$2:$A$9,0))),"ERROR")))))</f>
        <v>S8 READMISSION_PENDING</v>
      </c>
    </row>
    <row r="164" spans="1:4" x14ac:dyDescent="0.3">
      <c r="A164" t="s">
        <v>124</v>
      </c>
    </row>
    <row r="165" spans="1:4" x14ac:dyDescent="0.3">
      <c r="A165" t="s">
        <v>125</v>
      </c>
      <c r="B165" t="s">
        <v>23</v>
      </c>
      <c r="C165" t="s">
        <v>85</v>
      </c>
      <c r="D165" t="str">
        <f>IF(COUNTIF(Vocab!$A$2:$A$10,A165)=0,"ERROR",IF(COUNTIF(Vocab!$B$2:$B$10,B165)=0,"ERROR",IF(B165="RollbackDetected","S5 FAIL_SAFE",IF(A165="S6 TOOL_QUARANTINE","S6 TOOL_QUARANTINE",IFERROR(IF(C165="true",INDEX(Spec12!$B$2:$B$9,MATCH(A165&amp;"|"&amp;B165,Spec12!$A$2:$A$9,0)),INDEX(Spec12!$C$2:$C$9,MATCH(A165&amp;"|"&amp;B165,Spec12!$A$2:$A$9,0))),"ERROR")))))</f>
        <v>ERROR</v>
      </c>
    </row>
    <row r="166" spans="1:4" x14ac:dyDescent="0.3">
      <c r="A166" t="s">
        <v>19</v>
      </c>
      <c r="B166" t="s">
        <v>126</v>
      </c>
      <c r="C166" t="s">
        <v>85</v>
      </c>
      <c r="D166" t="str">
        <f>IF(COUNTIF(Vocab!$A$2:$A$10,A166)=0,"ERROR",IF(COUNTIF(Vocab!$B$2:$B$10,B166)=0,"ERROR",IF(B166="RollbackDetected","S5 FAIL_SAFE",IF(A166="S6 TOOL_QUARANTINE","S6 TOOL_QUARANTINE",IFERROR(IF(C166="true",INDEX(Spec12!$B$2:$B$9,MATCH(A166&amp;"|"&amp;B166,Spec12!$A$2:$A$9,0)),INDEX(Spec12!$C$2:$C$9,MATCH(A166&amp;"|"&amp;B166,Spec12!$A$2:$A$9,0))),"ERROR")))))</f>
        <v>ERROR</v>
      </c>
    </row>
    <row r="168" spans="1:4" x14ac:dyDescent="0.3">
      <c r="A168" t="s">
        <v>127</v>
      </c>
      <c r="D168">
        <f>SUMPRODUCT(($C$2:$C$163="false")*($D$2:$D$163="S4 REHYDRATED_VALIDATED"))</f>
        <v>0</v>
      </c>
    </row>
    <row r="169" spans="1:4" x14ac:dyDescent="0.3">
      <c r="A169" t="s">
        <v>128</v>
      </c>
      <c r="D169">
        <f>SUMPRODUCT(($B$2:$B$163="RollbackDetected")*($D$2:$D$163&lt;&gt;"S5 FAIL_SAFE"))</f>
        <v>0</v>
      </c>
    </row>
    <row r="170" spans="1:4" x14ac:dyDescent="0.3">
      <c r="A170" t="s">
        <v>129</v>
      </c>
      <c r="D170">
        <f>SUMPRODUCT(($D$2:$D$163&lt;&gt;"ERROR")*($D$2:$D$163&lt;&gt;$A$2:$A$163)*(ISNA(MATCH($A$2:$A$163&amp;"|"&amp;$B$2:$B$163,Spec12!$A$2:$A$9,0)))*($B$2:$B$163&lt;&gt;"RollbackDetected"))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Spec12</vt:lpstr>
      <vt:lpstr>Vocab</vt:lpstr>
      <vt:lpstr>Evidence</vt:lpstr>
      <vt:lpstr>PT</vt:lpstr>
      <vt:lpstr>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2026-07-02T16:37:14Z</dcterms:created>
  <dcterms:modified xsi:type="dcterms:W3CDTF">2026-07-02T21:34:51Z</dcterms:modified>
  <dc:language>en-US</dc:language>
</cp:coreProperties>
</file>